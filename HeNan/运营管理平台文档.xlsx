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420"/>
  </bookViews>
  <sheets>
    <sheet name="需求汇总" sheetId="1" r:id="rId1"/>
    <sheet name="河南移动-剧头" sheetId="2" r:id="rId2"/>
    <sheet name="河南移动-子集" sheetId="3" r:id="rId3"/>
    <sheet name="版权数据库-版权方纬度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zhuxuan</author>
    <author>dawn-lj</author>
    <author>PC</author>
  </authors>
  <commentList>
    <comment ref="B2" authorId="0">
      <text>
        <r>
          <rPr>
            <b/>
            <sz val="9"/>
            <rFont val="宋体"/>
            <charset val="0"/>
          </rPr>
          <t>zhuxuan:</t>
        </r>
        <r>
          <rPr>
            <sz val="9"/>
            <rFont val="宋体"/>
            <charset val="0"/>
          </rPr>
          <t xml:space="preserve">
更新子集内容时填写，新增子集不需要填写</t>
        </r>
      </text>
    </comment>
    <comment ref="C2" authorId="1">
      <text>
        <r>
          <rPr>
            <sz val="9"/>
            <rFont val="宋体"/>
            <charset val="134"/>
          </rPr>
          <t>名称（不能含特殊字符，例如：空格、标点符号、减号’-’、下划线‘_’等）</t>
        </r>
      </text>
    </comment>
    <comment ref="D2" authorId="1">
      <text>
        <r>
          <rPr>
            <sz val="9"/>
            <rFont val="宋体"/>
            <charset val="134"/>
          </rPr>
          <t>作者列表，只供显示</t>
        </r>
      </text>
    </comment>
    <comment ref="E2" authorId="1">
      <text>
        <r>
          <rPr>
            <sz val="9"/>
            <rFont val="宋体"/>
            <charset val="134"/>
          </rPr>
          <t>清晰度（0:标清、1:高清、2:流超清、3:4K、4:杜比）</t>
        </r>
      </text>
    </comment>
    <comment ref="F2" authorId="1">
      <text>
        <r>
          <rPr>
            <sz val="9"/>
            <rFont val="宋体"/>
            <charset val="134"/>
          </rPr>
          <t>按照实际值传，如为空传”语言（简体汉字）（值为简体汉字）（支
持“其他,普通话,英语,粤语,日语,韩语,
法语,德语,意大利语,中文,英文”）</t>
        </r>
      </text>
    </comment>
    <comment ref="G2" authorId="1">
      <text>
        <r>
          <rPr>
            <sz val="9"/>
            <rFont val="宋体"/>
            <charset val="134"/>
          </rPr>
          <t>演员列表，只供显示</t>
        </r>
      </text>
    </comment>
    <comment ref="H2" authorId="1">
      <text>
        <r>
          <rPr>
            <sz val="9"/>
            <rFont val="宋体"/>
            <charset val="134"/>
          </rPr>
          <t>表示内容类型：电视剧，电影，新闻，体育</t>
        </r>
      </text>
    </comment>
    <comment ref="I2" authorId="1">
      <text>
        <r>
          <rPr>
            <sz val="9"/>
            <rFont val="宋体"/>
            <charset val="134"/>
          </rPr>
          <t>YYYY</t>
        </r>
      </text>
    </comment>
    <comment ref="J2" authorId="1">
      <text>
        <r>
          <rPr>
            <sz val="9"/>
            <rFont val="宋体"/>
            <charset val="134"/>
          </rPr>
          <t xml:space="preserve">多个关键字中间用分号分隔
</t>
        </r>
      </text>
    </comment>
    <comment ref="K2" authorId="1">
      <text>
        <r>
          <rPr>
            <sz val="9"/>
            <rFont val="宋体"/>
            <charset val="134"/>
          </rPr>
          <t>有数据为 10 以内小
数点
无数据填写 暂无</t>
        </r>
      </text>
    </comment>
    <comment ref="L2" authorId="1">
      <text>
        <r>
          <rPr>
            <sz val="9"/>
            <rFont val="宋体"/>
            <charset val="134"/>
          </rPr>
          <t>最大不超过18个中文字符</t>
        </r>
      </text>
    </comment>
    <comment ref="N2" authorId="1">
      <text>
        <r>
          <rPr>
            <sz val="9"/>
            <rFont val="宋体"/>
            <charset val="134"/>
          </rPr>
          <t>萌趣学堂：1，荣耀王国：2，大包：3</t>
        </r>
      </text>
    </comment>
    <comment ref="O2" authorId="1">
      <text>
        <r>
          <rPr>
            <sz val="10"/>
            <rFont val="宋体"/>
            <charset val="134"/>
          </rPr>
          <t>竖图</t>
        </r>
      </text>
    </comment>
    <comment ref="P2" authorId="1">
      <text>
        <r>
          <rPr>
            <sz val="9"/>
            <rFont val="宋体"/>
            <charset val="134"/>
          </rPr>
          <t xml:space="preserve">内容描述
</t>
        </r>
      </text>
    </comment>
    <comment ref="R2" authorId="2">
      <text>
        <r>
          <rPr>
            <sz val="9"/>
            <rFont val="宋体"/>
            <charset val="134"/>
          </rPr>
          <t>版权列表（多个以分号隔开）
0 全部
1 机顶盒
301 投影仪
601 闺蜜机
401 音响
101 智能电视
501 云电脑
701 云pad</t>
        </r>
      </text>
    </comment>
  </commentList>
</comments>
</file>

<file path=xl/comments2.xml><?xml version="1.0" encoding="utf-8"?>
<comments xmlns="http://schemas.openxmlformats.org/spreadsheetml/2006/main">
  <authors>
    <author>dawn-lj</author>
  </authors>
  <commentList>
    <comment ref="B2" authorId="0">
      <text>
        <r>
          <rPr>
            <sz val="9"/>
            <rFont val="宋体"/>
            <charset val="134"/>
          </rPr>
          <t>更新子集内容时填写，新增子集不需要填写</t>
        </r>
      </text>
    </comment>
    <comment ref="E2" authorId="0">
      <text>
        <r>
          <rPr>
            <b/>
            <sz val="9"/>
            <rFont val="宋体"/>
            <charset val="134"/>
          </rPr>
          <t>1：正片  2：预览片</t>
        </r>
      </text>
    </comment>
    <comment ref="F2" authorId="0">
      <text>
        <r>
          <rPr>
            <sz val="9"/>
            <rFont val="宋体"/>
            <charset val="134"/>
          </rPr>
          <t>编码格式:1:H.264
2:MPEG4
3:AVS
4:MPEG2
5:MP3
7:H.265</t>
        </r>
      </text>
    </comment>
    <comment ref="G2" authorId="0">
      <text>
        <r>
          <rPr>
            <sz val="9"/>
            <rFont val="宋体"/>
            <charset val="134"/>
          </rPr>
          <t xml:space="preserve">大包必填
</t>
        </r>
      </text>
    </comment>
    <comment ref="H2" authorId="0">
      <text>
        <r>
          <rPr>
            <sz val="9"/>
            <rFont val="宋体"/>
            <charset val="134"/>
          </rPr>
          <t>时分秒帧：HHMISSFF</t>
        </r>
      </text>
    </comment>
    <comment ref="I2" authorId="0">
      <text>
        <r>
          <rPr>
            <sz val="9"/>
            <rFont val="宋体"/>
            <charset val="134"/>
          </rPr>
          <t xml:space="preserve">文件大小：单位byte
</t>
        </r>
      </text>
    </comment>
  </commentList>
</comments>
</file>

<file path=xl/sharedStrings.xml><?xml version="1.0" encoding="utf-8"?>
<sst xmlns="http://schemas.openxmlformats.org/spreadsheetml/2006/main" count="412" uniqueCount="301">
  <si>
    <t>需要先搭建一个平台</t>
  </si>
  <si>
    <t>运营管理平台</t>
  </si>
  <si>
    <t>需求板块</t>
  </si>
  <si>
    <t>一级目录</t>
  </si>
  <si>
    <t>二级目录</t>
  </si>
  <si>
    <t>三级目录</t>
  </si>
  <si>
    <t>需求</t>
  </si>
  <si>
    <t>描述</t>
  </si>
  <si>
    <t>责任人</t>
  </si>
  <si>
    <t>版块一</t>
  </si>
  <si>
    <t>版权信息检索</t>
  </si>
  <si>
    <t>1.自动生成【剧头】表；
2.自动生成【子集】表。
一个表格里面有两个sheet，一个是【剧头】，一个是【子集】，【剧头】表里面只有一个剧集名称。</t>
  </si>
  <si>
    <r>
      <rPr>
        <sz val="11"/>
        <color theme="1"/>
        <rFont val="宋体"/>
        <charset val="134"/>
        <scheme val="minor"/>
      </rPr>
      <t>1.需求概述：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根据该省份的内容注入表表头，按照【剧集名称】从【版权数据库-版权方纬度】里面匹配对应的内容；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 xml:space="preserve">具体匹配需求见【河南移动-剧头】和【河南移动-子集】；
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以表格的形式批量导入需要注入内容的剧集名称，点击“查询”按钮即可输出填写完整的【内容注入表】的【剧头】表和【子集】表，然后点击“导出”按钮导出；
2.工具：Mysql</t>
    </r>
  </si>
  <si>
    <t>何小茹</t>
  </si>
  <si>
    <t>界面形式</t>
  </si>
  <si>
    <t>剧集名称</t>
  </si>
  <si>
    <t>“导入”按钮</t>
  </si>
  <si>
    <t>“查询”按钮</t>
  </si>
  <si>
    <t>“导出”按钮</t>
  </si>
  <si>
    <t>对应省份内容注入表模版的表头</t>
  </si>
  <si>
    <t>所需剧集的输出结果</t>
  </si>
  <si>
    <t>板块二</t>
  </si>
  <si>
    <t>视频转码</t>
  </si>
  <si>
    <t>1.转码工具：ShanaEncoder。
2.操作步骤：①将本地文件夹中的视频（视频名称类似于为jkrdiydbp001)拖入ShanaEncoder中，转码完成后会自动保存到本地文件夹，但是文件名称会加上（1）（类似于jkrdiydbp001（1））这样子的，需要把原视频文件删除，然后将转码后的文件名称修改成规定格式。
②从本地文件夹将整个文件拖到服务器中即可。</t>
  </si>
  <si>
    <t>板块三</t>
  </si>
  <si>
    <t>图像生成</t>
  </si>
  <si>
    <r>
      <rPr>
        <sz val="11"/>
        <color theme="1"/>
        <rFont val="宋体"/>
        <charset val="134"/>
        <scheme val="minor"/>
      </rPr>
      <t>1.工具：Coze/dify；
2思路：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>输入内容（以剧集名称的形式导入）-》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先去《图片数据库》里面查询是否有这个内容，如果有，则直接利用数据库中的图片，如果没有查询到则利用插件去网上找相关图片，输出图片-》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利用模型按照各省份需求进行尺寸/分辨率等相关信息处理-》</t>
    </r>
    <r>
      <rPr>
        <sz val="11"/>
        <color theme="1"/>
        <rFont val="PingFang SC"/>
        <charset val="134"/>
      </rPr>
      <t>④</t>
    </r>
    <r>
      <rPr>
        <sz val="11"/>
        <color theme="1"/>
        <rFont val="宋体"/>
        <charset val="134"/>
        <scheme val="minor"/>
      </rPr>
      <t>人工审核，有问题的返回，没问题的进行下一步-》</t>
    </r>
    <r>
      <rPr>
        <sz val="11"/>
        <color theme="1"/>
        <rFont val="PingFang SC"/>
        <charset val="134"/>
      </rPr>
      <t>⑤</t>
    </r>
    <r>
      <rPr>
        <sz val="11"/>
        <color theme="1"/>
        <rFont val="宋体"/>
        <charset val="134"/>
        <scheme val="minor"/>
      </rPr>
      <t>人工审核无误则按照固定的命名要求输出（如果是新的图片，同时导入到数据库中）；
3.困难点：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>怎么在Coze/dify上搭建；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在Coze/dify上搭建完成，怎么调到我们平台上使用。</t>
    </r>
  </si>
  <si>
    <t>祝旋</t>
  </si>
  <si>
    <t>板块四</t>
  </si>
  <si>
    <t>专题板块</t>
  </si>
  <si>
    <t>板块五</t>
  </si>
  <si>
    <t>活动板块</t>
  </si>
  <si>
    <t>板块六</t>
  </si>
  <si>
    <t>数据库</t>
  </si>
  <si>
    <t>版权数据库-版权方纬度</t>
  </si>
  <si>
    <t>表格形式</t>
  </si>
  <si>
    <t>丘丘</t>
  </si>
  <si>
    <t>版权数据库-业务省份纬度</t>
  </si>
  <si>
    <t>图片数据库</t>
  </si>
  <si>
    <t>是否可以存储图片？</t>
  </si>
  <si>
    <t>格式</t>
  </si>
  <si>
    <t>专题数据库</t>
  </si>
  <si>
    <t>专题名称</t>
  </si>
  <si>
    <t>专题文字介绍</t>
  </si>
  <si>
    <t>专题图</t>
  </si>
  <si>
    <t>活动数据库</t>
  </si>
  <si>
    <t>内容注入表模版</t>
  </si>
  <si>
    <t>河南移动（少儿、教育、电竞）</t>
  </si>
  <si>
    <t>导入各个省份业务的注入表模版</t>
  </si>
  <si>
    <t>1300人/天</t>
  </si>
  <si>
    <t>河南移动少儿/教育/电竞是通过C2接口注入，游戏需要本地注入</t>
  </si>
  <si>
    <t>剧头信息</t>
  </si>
  <si>
    <t>剧头id</t>
  </si>
  <si>
    <t>作者列表</t>
  </si>
  <si>
    <t>清晰度</t>
  </si>
  <si>
    <t>语言</t>
  </si>
  <si>
    <t>主演</t>
  </si>
  <si>
    <t>内容类型</t>
  </si>
  <si>
    <t>上映年份</t>
  </si>
  <si>
    <t>关键字</t>
  </si>
  <si>
    <t>评分</t>
  </si>
  <si>
    <t>推荐语</t>
  </si>
  <si>
    <t>总集数</t>
  </si>
  <si>
    <t>产品分类</t>
  </si>
  <si>
    <t>竖图</t>
  </si>
  <si>
    <t>横图</t>
  </si>
  <si>
    <t>版权</t>
  </si>
  <si>
    <t>二级分类</t>
  </si>
  <si>
    <t>自动生成</t>
  </si>
  <si>
    <t>匹配【版权数据库-版权方纬度】里面的【导演】</t>
  </si>
  <si>
    <t>匹配【版权数据库-版权方纬度】里面的【语言-河南标准】</t>
  </si>
  <si>
    <t>匹配【版权数据库-版权方纬度】里面的【主演\嘉宾\主持人】</t>
  </si>
  <si>
    <t>匹配【版权数据库-版权方纬度】里面的【一级分类-河南标准】</t>
  </si>
  <si>
    <t>匹配【版权数据库-版权方纬度】里面的【出品年代】</t>
  </si>
  <si>
    <t>匹配【版权数据库-版权方纬度】里面的【关键字】</t>
  </si>
  <si>
    <t>匹配【版权数据库-版权方纬度】里面的【行业内相关网站的评级、评分（骨朵\艺恩\猫眼\豆瓣\时光网\百度\其他主流视频网站等评分】</t>
  </si>
  <si>
    <t>匹配【版权数据库-版权方纬度】里面的【推荐语/一句话介绍】</t>
  </si>
  <si>
    <t>匹配【版权数据库-版权方纬度】里面的【集数】</t>
  </si>
  <si>
    <t>1.如果【内容类型】是【教育】则输出1；
2.如果【内容类型】是【电竞】，则输出2；
3.其他则输出3</t>
  </si>
  <si>
    <t>http://36.133.168.235:18181/img/剧集名称的首字母_st.jpg</t>
  </si>
  <si>
    <t>匹配【版权数据库-版权方纬度】里面的【简介】</t>
  </si>
  <si>
    <t>http://36.133.168.235:18181/img/剧集名称的首字母_ht.jpg</t>
  </si>
  <si>
    <t>匹配【版权数据库-版权方纬度】里面的【二级分类-河南标准】</t>
  </si>
  <si>
    <t>说明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</si>
  <si>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  <scheme val="minor"/>
      </rPr>
      <t>第一次上传表的时候不需要填写，上传后系统会自动生成</t>
    </r>
    <r>
      <rPr>
        <sz val="11"/>
        <color theme="1"/>
        <rFont val="宋体"/>
        <charset val="134"/>
      </rPr>
      <t>id</t>
    </r>
    <r>
      <rPr>
        <sz val="11"/>
        <color theme="1"/>
        <rFont val="宋体"/>
        <charset val="134"/>
        <scheme val="minor"/>
      </rPr>
      <t xml:space="preserve">；
</t>
    </r>
    <r>
      <rPr>
        <sz val="11"/>
        <color theme="1"/>
        <rFont val="宋体"/>
        <charset val="134"/>
      </rPr>
      <t>2.</t>
    </r>
    <r>
      <rPr>
        <sz val="11"/>
        <color theme="1"/>
        <rFont val="宋体"/>
        <charset val="134"/>
        <scheme val="minor"/>
      </rPr>
      <t>后续进行修改时，会需要填写。</t>
    </r>
  </si>
  <si>
    <t>1.名称（不能含特殊字符，例如：空格、标点符号、减号’-’、下划线‘_’等）;
2.以剧集名称作为关键字去匹配其他剧头信息</t>
  </si>
  <si>
    <t>0:标清
1:高清
2:流超清
3:4K
4:杜比</t>
  </si>
  <si>
    <t>儿童/电竞/教育</t>
  </si>
  <si>
    <t>1.萌趣学堂（教育内容）
2.荣耀王国（电竞游戏内容）
3.大包（少儿内容）</t>
  </si>
  <si>
    <t>0 全部
1 机顶盒
301 投影仪
601 闺蜜机
401 音响
101 智能电视
501 云电脑
701 云pad</t>
  </si>
  <si>
    <t>举例</t>
  </si>
  <si>
    <t>监控人DIY大比拼</t>
  </si>
  <si>
    <t>暂无</t>
  </si>
  <si>
    <t>1</t>
  </si>
  <si>
    <t>简体中文</t>
  </si>
  <si>
    <t>佚名</t>
  </si>
  <si>
    <t>儿童</t>
  </si>
  <si>
    <t>2024</t>
  </si>
  <si>
    <t>启蒙;益智</t>
  </si>
  <si>
    <t>9.3</t>
  </si>
  <si>
    <t>50</t>
  </si>
  <si>
    <t>http://36.133.168.235:18181/img/jkrdiydbp_st.jpg</t>
  </si>
  <si>
    <t>监控人DIY大比拼，看看谁更胜一筹！</t>
  </si>
  <si>
    <t>http://36.133.168.235:18181/img/jkrdiydbp_ht.jpg</t>
  </si>
  <si>
    <t>益智</t>
  </si>
  <si>
    <t>只能一个节目一个表</t>
  </si>
  <si>
    <t>子集id</t>
  </si>
  <si>
    <t>节目名称</t>
  </si>
  <si>
    <t>媒体拉取地址</t>
  </si>
  <si>
    <t>媒体类型</t>
  </si>
  <si>
    <t>编码格式</t>
  </si>
  <si>
    <t>集数</t>
  </si>
  <si>
    <t>时长</t>
  </si>
  <si>
    <t>文件大小</t>
  </si>
  <si>
    <t>时长转换工具</t>
  </si>
  <si>
    <t>媒资转码工具</t>
  </si>
  <si>
    <t>【剧头】里面的【剧集名称】+第+【】+集</t>
  </si>
  <si>
    <t>ftp://ftpmediazjyd:rD2q0y1M5eI@36.133.168.235:2121/media/hnyd/【shaoer/mqxt/rywg】/【剧集名称的首字母】/【剧集名称的首字母】+【0**】.ts</t>
  </si>
  <si>
    <t>自动填入</t>
  </si>
  <si>
    <t>【剧头】里面的【总集数】有几集，这里就有几行</t>
  </si>
  <si>
    <r>
      <t>1.名称要求：</t>
    </r>
    <r>
      <rPr>
        <sz val="11"/>
        <color rgb="FFFF0000"/>
        <rFont val="宋体"/>
        <charset val="134"/>
        <scheme val="minor"/>
      </rPr>
      <t>【shaoer/mqxt/rywg】</t>
    </r>
    <r>
      <rPr>
        <sz val="11"/>
        <color theme="1"/>
        <rFont val="宋体"/>
        <charset val="134"/>
        <scheme val="minor"/>
      </rPr>
      <t>：【剧头】里面【内容类型】显示的是【儿童】，在这里填【shaoer】;
                                                                                             显示的是【教育】，在这里填【mqxt】；  
                                                                                             显示的是【电竞】，在这里填【rywg】。
2.转码工具：ShanaEncoder。
3.操作步骤：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将本地文件夹中的视频（视频名称类似于为jkrdiydbp001)拖入ShanaEncoder中，转码完成后会自动保存到本地文件夹，但是文件名称会加上（1）（类似于jkrdiydbp001（1））这样子的，需要把原视频文件删除，然后将转码后的文件名称修改成规定格式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从本地文件夹将整个文件拖到服务器中即可。</t>
    </r>
  </si>
  <si>
    <t>1:正片
2:预览片</t>
  </si>
  <si>
    <t>1:H.264
2:MPEG4
3:AVS
4:MPEG2
5:MP3
7:H.265</t>
  </si>
  <si>
    <t>按照【剧头】里面的【总集数】自动排序下去</t>
  </si>
  <si>
    <r>
      <rPr>
        <sz val="11"/>
        <rFont val="宋体"/>
        <charset val="0"/>
        <scheme val="minor"/>
      </rPr>
      <t>通过【批量读取视频时长】的工具，将媒资存放的本地链接输入，即可批量输出【运行时间】，然后复制出来转换成</t>
    </r>
    <r>
      <rPr>
        <sz val="11"/>
        <color rgb="FFFF0000"/>
        <rFont val="宋体"/>
        <charset val="0"/>
        <scheme val="minor"/>
      </rPr>
      <t>时分秒毫秒********【举例：00050200】</t>
    </r>
  </si>
  <si>
    <r>
      <rPr>
        <sz val="11"/>
        <rFont val="宋体"/>
        <charset val="0"/>
        <scheme val="minor"/>
      </rPr>
      <t>通过【批量读取视频时长】的工具，将媒资存放的本地链接输入，即可批量输出【大小（KB)】，然后复制出来，</t>
    </r>
    <r>
      <rPr>
        <sz val="11"/>
        <color rgb="FFFF0000"/>
        <rFont val="宋体"/>
        <charset val="0"/>
        <scheme val="minor"/>
      </rPr>
      <t>乘上1024转成单位为b的</t>
    </r>
  </si>
  <si>
    <t>监控人DIY大比拼第01集</t>
  </si>
  <si>
    <t>ftp://ftpmediazjyd:rD2q0y1M5eI@36.133.168.235:2121/media/hnyd/shaoer/jkrdiydbp/jkrdiydbp001.ts</t>
  </si>
  <si>
    <t>监控人DIY大比拼第02集</t>
  </si>
  <si>
    <t>ftp://ftpmediazjyd:rD2q0y1M5eI@36.133.168.235:2121/media/hnyd/shaoer/jkrdiydbp/jkrdiydbp002.ts</t>
  </si>
  <si>
    <t>监控人DIY大比拼第03集</t>
  </si>
  <si>
    <t>ftp://ftpmediazjyd:rD2q0y1M5eI@36.133.168.235:2121/media/hnyd/shaoer/jkrdiydbp/jkrdiydbp003.ts</t>
  </si>
  <si>
    <t>监控人DIY大比拼第04集</t>
  </si>
  <si>
    <t>ftp://ftpmediazjyd:rD2q0y1M5eI@36.133.168.235:2121/media/hnyd/shaoer/jkrdiydbp/jkrdiydbp004.ts</t>
  </si>
  <si>
    <t>监控人DIY大比拼第05集</t>
  </si>
  <si>
    <t>ftp://ftpmediazjyd:rD2q0y1M5eI@36.133.168.235:2121/media/hnyd/shaoer/jkrdiydbp/jkrdiydbp005.ts</t>
  </si>
  <si>
    <t>监控人DIY大比拼第06集</t>
  </si>
  <si>
    <t>ftp://ftpmediazjyd:rD2q0y1M5eI@36.133.168.235:2121/media/hnyd/shaoer/jkrdiydbp/jkrdiydbp006.ts</t>
  </si>
  <si>
    <t>监控人DIY大比拼第07集</t>
  </si>
  <si>
    <t>ftp://ftpmediazjyd:rD2q0y1M5eI@36.133.168.235:2121/media/hnyd/shaoer/jkrdiydbp/jkrdiydbp007.ts</t>
  </si>
  <si>
    <t>监控人DIY大比拼第08集</t>
  </si>
  <si>
    <t>ftp://ftpmediazjyd:rD2q0y1M5eI@36.133.168.235:2121/media/hnyd/shaoer/jkrdiydbp/jkrdiydbp008.ts</t>
  </si>
  <si>
    <t>监控人DIY大比拼第09集</t>
  </si>
  <si>
    <t>ftp://ftpmediazjyd:rD2q0y1M5eI@36.133.168.235:2121/media/hnyd/shaoer/jkrdiydbp/jkrdiydbp009.ts</t>
  </si>
  <si>
    <t>监控人DIY大比拼第10集</t>
  </si>
  <si>
    <t>ftp://ftpmediazjyd:rD2q0y1M5eI@36.133.168.235:2121/media/hnyd/shaoer/jkrdiydbp/jkrdiydbp010.ts</t>
  </si>
  <si>
    <t>监控人DIY大比拼第11集</t>
  </si>
  <si>
    <t>ftp://ftpmediazjyd:rD2q0y1M5eI@36.133.168.235:2121/media/hnyd/shaoer/jkrdiydbp/jkrdiydbp011.ts</t>
  </si>
  <si>
    <t>监控人DIY大比拼第12集</t>
  </si>
  <si>
    <t>ftp://ftpmediazjyd:rD2q0y1M5eI@36.133.168.235:2121/media/hnyd/shaoer/jkrdiydbp/jkrdiydbp012.ts</t>
  </si>
  <si>
    <t>监控人DIY大比拼第13集</t>
  </si>
  <si>
    <t>ftp://ftpmediazjyd:rD2q0y1M5eI@36.133.168.235:2121/media/hnyd/shaoer/jkrdiydbp/jkrdiydbp013.ts</t>
  </si>
  <si>
    <t>监控人DIY大比拼第14集</t>
  </si>
  <si>
    <t>ftp://ftpmediazjyd:rD2q0y1M5eI@36.133.168.235:2121/media/hnyd/shaoer/jkrdiydbp/jkrdiydbp014.ts</t>
  </si>
  <si>
    <t>监控人DIY大比拼第15集</t>
  </si>
  <si>
    <t>ftp://ftpmediazjyd:rD2q0y1M5eI@36.133.168.235:2121/media/hnyd/shaoer/jkrdiydbp/jkrdiydbp015.ts</t>
  </si>
  <si>
    <t>b</t>
  </si>
  <si>
    <t>监控人DIY大比拼第16集</t>
  </si>
  <si>
    <t>ftp://ftpmediazjyd:rD2q0y1M5eI@36.133.168.235:2121/media/hnyd/shaoer/jkrdiydbp/jkrdiydbp016.ts</t>
  </si>
  <si>
    <t>监控人DIY大比拼第17集</t>
  </si>
  <si>
    <t>ftp://ftpmediazjyd:rD2q0y1M5eI@36.133.168.235:2121/media/hnyd/shaoer/jkrdiydbp/jkrdiydbp017.ts</t>
  </si>
  <si>
    <t>监控人DIY大比拼第18集</t>
  </si>
  <si>
    <t>ftp://ftpmediazjyd:rD2q0y1M5eI@36.133.168.235:2121/media/hnyd/shaoer/jkrdiydbp/jkrdiydbp018.ts</t>
  </si>
  <si>
    <t>监控人DIY大比拼第19集</t>
  </si>
  <si>
    <t>ftp://ftpmediazjyd:rD2q0y1M5eI@36.133.168.235:2121/media/hnyd/shaoer/jkrdiydbp/jkrdiydbp019.ts</t>
  </si>
  <si>
    <t>监控人DIY大比拼第20集</t>
  </si>
  <si>
    <t>ftp://ftpmediazjyd:rD2q0y1M5eI@36.133.168.235:2121/media/hnyd/shaoer/jkrdiydbp/jkrdiydbp020.ts</t>
  </si>
  <si>
    <t>监控人DIY大比拼第21集</t>
  </si>
  <si>
    <t>ftp://ftpmediazjyd:rD2q0y1M5eI@36.133.168.235:2121/media/hnyd/shaoer/jkrdiydbp/jkrdiydbp021.ts</t>
  </si>
  <si>
    <t>监控人DIY大比拼第22集</t>
  </si>
  <si>
    <t>ftp://ftpmediazjyd:rD2q0y1M5eI@36.133.168.235:2121/media/hnyd/shaoer/jkrdiydbp/jkrdiydbp022.ts</t>
  </si>
  <si>
    <t>监控人DIY大比拼第23集</t>
  </si>
  <si>
    <t>ftp://ftpmediazjyd:rD2q0y1M5eI@36.133.168.235:2121/media/hnyd/shaoer/jkrdiydbp/jkrdiydbp023.ts</t>
  </si>
  <si>
    <t>监控人DIY大比拼第24集</t>
  </si>
  <si>
    <t>ftp://ftpmediazjyd:rD2q0y1M5eI@36.133.168.235:2121/media/hnyd/shaoer/jkrdiydbp/jkrdiydbp024.ts</t>
  </si>
  <si>
    <t>监控人DIY大比拼第25集</t>
  </si>
  <si>
    <t>ftp://ftpmediazjyd:rD2q0y1M5eI@36.133.168.235:2121/media/hnyd/shaoer/jkrdiydbp/jkrdiydbp025.ts</t>
  </si>
  <si>
    <t>监控人DIY大比拼第26集</t>
  </si>
  <si>
    <t>ftp://ftpmediazjyd:rD2q0y1M5eI@36.133.168.235:2121/media/hnyd/shaoer/jkrdiydbp/jkrdiydbp026.ts</t>
  </si>
  <si>
    <t>监控人DIY大比拼第27集</t>
  </si>
  <si>
    <t>ftp://ftpmediazjyd:rD2q0y1M5eI@36.133.168.235:2121/media/hnyd/shaoer/jkrdiydbp/jkrdiydbp027.ts</t>
  </si>
  <si>
    <t>监控人DIY大比拼第28集</t>
  </si>
  <si>
    <t>ftp://ftpmediazjyd:rD2q0y1M5eI@36.133.168.235:2121/media/hnyd/shaoer/jkrdiydbp/jkrdiydbp028.ts</t>
  </si>
  <si>
    <t>监控人DIY大比拼第29集</t>
  </si>
  <si>
    <t>ftp://ftpmediazjyd:rD2q0y1M5eI@36.133.168.235:2121/media/hnyd/shaoer/jkrdiydbp/jkrdiydbp029.ts</t>
  </si>
  <si>
    <t>监控人DIY大比拼第30集</t>
  </si>
  <si>
    <t>ftp://ftpmediazjyd:rD2q0y1M5eI@36.133.168.235:2121/media/hnyd/shaoer/jkrdiydbp/jkrdiydbp030.ts</t>
  </si>
  <si>
    <t>监控人DIY大比拼第31集</t>
  </si>
  <si>
    <t>ftp://ftpmediazjyd:rD2q0y1M5eI@36.133.168.235:2121/media/hnyd/shaoer/jkrdiydbp/jkrdiydbp031.ts</t>
  </si>
  <si>
    <t>监控人DIY大比拼第32集</t>
  </si>
  <si>
    <t>ftp://ftpmediazjyd:rD2q0y1M5eI@36.133.168.235:2121/media/hnyd/shaoer/jkrdiydbp/jkrdiydbp032.ts</t>
  </si>
  <si>
    <t>监控人DIY大比拼第33集</t>
  </si>
  <si>
    <t>ftp://ftpmediazjyd:rD2q0y1M5eI@36.133.168.235:2121/media/hnyd/shaoer/jkrdiydbp/jkrdiydbp033.ts</t>
  </si>
  <si>
    <t>监控人DIY大比拼第34集</t>
  </si>
  <si>
    <t>ftp://ftpmediazjyd:rD2q0y1M5eI@36.133.168.235:2121/media/hnyd/shaoer/jkrdiydbp/jkrdiydbp034.ts</t>
  </si>
  <si>
    <t>监控人DIY大比拼第35集</t>
  </si>
  <si>
    <t>ftp://ftpmediazjyd:rD2q0y1M5eI@36.133.168.235:2121/media/hnyd/shaoer/jkrdiydbp/jkrdiydbp035.ts</t>
  </si>
  <si>
    <t>监控人DIY大比拼第36集</t>
  </si>
  <si>
    <t>ftp://ftpmediazjyd:rD2q0y1M5eI@36.133.168.235:2121/media/hnyd/shaoer/jkrdiydbp/jkrdiydbp036.ts</t>
  </si>
  <si>
    <t>监控人DIY大比拼第37集</t>
  </si>
  <si>
    <t>ftp://ftpmediazjyd:rD2q0y1M5eI@36.133.168.235:2121/media/hnyd/shaoer/jkrdiydbp/jkrdiydbp037.ts</t>
  </si>
  <si>
    <t>监控人DIY大比拼第38集</t>
  </si>
  <si>
    <t>ftp://ftpmediazjyd:rD2q0y1M5eI@36.133.168.235:2121/media/hnyd/shaoer/jkrdiydbp/jkrdiydbp038.ts</t>
  </si>
  <si>
    <t>监控人DIY大比拼第39集</t>
  </si>
  <si>
    <t>ftp://ftpmediazjyd:rD2q0y1M5eI@36.133.168.235:2121/media/hnyd/shaoer/jkrdiydbp/jkrdiydbp039.ts</t>
  </si>
  <si>
    <t>监控人DIY大比拼第40集</t>
  </si>
  <si>
    <t>ftp://ftpmediazjyd:rD2q0y1M5eI@36.133.168.235:2121/media/hnyd/shaoer/jkrdiydbp/jkrdiydbp040.ts</t>
  </si>
  <si>
    <t>监控人DIY大比拼第41集</t>
  </si>
  <si>
    <t>ftp://ftpmediazjyd:rD2q0y1M5eI@36.133.168.235:2121/media/hnyd/shaoer/jkrdiydbp/jkrdiydbp041.ts</t>
  </si>
  <si>
    <t>监控人DIY大比拼第42集</t>
  </si>
  <si>
    <t>ftp://ftpmediazjyd:rD2q0y1M5eI@36.133.168.235:2121/media/hnyd/shaoer/jkrdiydbp/jkrdiydbp042.ts</t>
  </si>
  <si>
    <t>监控人DIY大比拼第43集</t>
  </si>
  <si>
    <t>ftp://ftpmediazjyd:rD2q0y1M5eI@36.133.168.235:2121/media/hnyd/shaoer/jkrdiydbp/jkrdiydbp043.ts</t>
  </si>
  <si>
    <t>监控人DIY大比拼第44集</t>
  </si>
  <si>
    <t>ftp://ftpmediazjyd:rD2q0y1M5eI@36.133.168.235:2121/media/hnyd/shaoer/jkrdiydbp/jkrdiydbp044.ts</t>
  </si>
  <si>
    <t>监控人DIY大比拼第45集</t>
  </si>
  <si>
    <t>ftp://ftpmediazjyd:rD2q0y1M5eI@36.133.168.235:2121/media/hnyd/shaoer/jkrdiydbp/jkrdiydbp045.ts</t>
  </si>
  <si>
    <t>监控人DIY大比拼第46集</t>
  </si>
  <si>
    <t>ftp://ftpmediazjyd:rD2q0y1M5eI@36.133.168.235:2121/media/hnyd/shaoer/jkrdiydbp/jkrdiydbp046.ts</t>
  </si>
  <si>
    <t>监控人DIY大比拼第47集</t>
  </si>
  <si>
    <t>ftp://ftpmediazjyd:rD2q0y1M5eI@36.133.168.235:2121/media/hnyd/shaoer/jkrdiydbp/jkrdiydbp047.ts</t>
  </si>
  <si>
    <t>监控人DIY大比拼第48集</t>
  </si>
  <si>
    <t>ftp://ftpmediazjyd:rD2q0y1M5eI@36.133.168.235:2121/media/hnyd/shaoer/jkrdiydbp/jkrdiydbp048.ts</t>
  </si>
  <si>
    <t>监控人DIY大比拼第49集</t>
  </si>
  <si>
    <t>ftp://ftpmediazjyd:rD2q0y1M5eI@36.133.168.235:2121/media/hnyd/shaoer/jkrdiydbp/jkrdiydbp049.ts</t>
  </si>
  <si>
    <t>监控人DIY大比拼第50集</t>
  </si>
  <si>
    <t>ftp://ftpmediazjyd:rD2q0y1M5eI@36.133.168.235:2121/media/hnyd/shaoer/jkrdiydbp/jkrdiydbp050.ts</t>
  </si>
  <si>
    <t>序号</t>
  </si>
  <si>
    <t>上游版权方</t>
  </si>
  <si>
    <t>介质名称</t>
  </si>
  <si>
    <t>一级分类</t>
  </si>
  <si>
    <t>一级分类-河南标准</t>
  </si>
  <si>
    <t>二级分类-河南标准</t>
  </si>
  <si>
    <t>单集时长</t>
  </si>
  <si>
    <t>总时长</t>
  </si>
  <si>
    <t>出品年代</t>
  </si>
  <si>
    <t>授权区域（全国/单独沟通）</t>
  </si>
  <si>
    <t>授权平台（IPTV、OTT、小屏、待沟通）</t>
  </si>
  <si>
    <t>合作方式（采买/分成）</t>
  </si>
  <si>
    <t>制作地区</t>
  </si>
  <si>
    <t>语言-河南标准</t>
  </si>
  <si>
    <t>国别</t>
  </si>
  <si>
    <t>导演</t>
  </si>
  <si>
    <t>编剧</t>
  </si>
  <si>
    <t>主演\嘉宾\主持人</t>
  </si>
  <si>
    <t>推荐语/一句话介绍</t>
  </si>
  <si>
    <t>简介</t>
  </si>
  <si>
    <t>标清\高清\4K\3D\杜比</t>
  </si>
  <si>
    <t>发行许可编号\备案号等</t>
  </si>
  <si>
    <t>行业内相关网站的评级、评分（骨朵\艺恩\猫眼\豆瓣\时光网\百度\其他主流视频网站等评分</t>
  </si>
  <si>
    <t>独家\非独</t>
  </si>
  <si>
    <t>版权开始时间</t>
  </si>
  <si>
    <t>版权结束时间</t>
  </si>
  <si>
    <t>云豆</t>
  </si>
  <si>
    <t>紧急追捕</t>
  </si>
  <si>
    <t>电视剧</t>
  </si>
  <si>
    <t>大陆</t>
  </si>
  <si>
    <t>中文</t>
  </si>
  <si>
    <t>赵镭</t>
  </si>
  <si>
    <t>申军谊，韩青，陈小艺，齐志</t>
  </si>
  <si>
    <t>紧急追捕：警方展开雷霆行动，追踪狡猾的罪犯，一场紧张刺激的猫鼠游戏就此展开。</t>
  </si>
  <si>
    <t>高清</t>
  </si>
  <si>
    <t>（湘）剧审字（2001）第007号</t>
  </si>
  <si>
    <t>非独</t>
  </si>
  <si>
    <t>/</t>
  </si>
  <si>
    <t>悠悠寸草心Ⅱ</t>
  </si>
  <si>
    <t>肖光辉</t>
  </si>
  <si>
    <t>白珊，岳跃利，刘丹，魏巍</t>
  </si>
  <si>
    <t>悠悠寸草心Ⅱ：延续家庭温情故事，讲述父母与子女间平凡却深刻的亲情与成长羁绊。</t>
  </si>
  <si>
    <t>（湘）剧审字（2007）第008号</t>
  </si>
  <si>
    <t>暗夜心慌慌</t>
  </si>
  <si>
    <t>庄枫</t>
  </si>
  <si>
    <t>马可，刘一含，梁超，李强</t>
  </si>
  <si>
    <t>暗夜心慌慌：神秘事件接连发生在深夜，营造出令人毛骨悚然的悬疑惊悚氛围。</t>
  </si>
  <si>
    <t>（湘）剧审字（2006）第008号</t>
  </si>
  <si>
    <t>如果还有明天</t>
  </si>
  <si>
    <t>姜凯阳</t>
  </si>
  <si>
    <t>王阳、咏梅、蒋欣</t>
  </si>
  <si>
    <t>如果还有明天：主角面对生命困境，重新审视人生意义，探讨希望与救赎的深刻主题。</t>
  </si>
  <si>
    <t>（湘）剧审字（2008）第008号</t>
  </si>
  <si>
    <t>走过路过莫错过</t>
  </si>
  <si>
    <t>王成刚</t>
  </si>
  <si>
    <t>斯琴高丽，邵桐，孙琳，亚丽</t>
  </si>
  <si>
    <t>走过路过莫错过：轻松幽默的都市喜剧，讲述机缘巧合下小人物的奇遇与情感故事。</t>
  </si>
  <si>
    <t>（湘）剧审字（2008）第005号</t>
  </si>
  <si>
    <t>人间烟火</t>
  </si>
  <si>
    <t>人间烟火：聚焦普通家庭的日常，描绘市井生活中的酸甜苦辣与人间真情。</t>
  </si>
  <si>
    <t>（湘）剧审字（2008）第13号</t>
  </si>
  <si>
    <t>好汉一箩筐</t>
  </si>
  <si>
    <t>黄鹤</t>
  </si>
  <si>
    <t>王鹏凯，孙耀琦，彭博</t>
  </si>
  <si>
    <t>好汉一箩筐：一群性格各异的江湖好汉，上演了一连串令人捧腹的搞笑冒险。</t>
  </si>
  <si>
    <t>（湘）剧审字（2008）第006号</t>
  </si>
  <si>
    <t>今生今世</t>
  </si>
  <si>
    <t>王硕</t>
  </si>
  <si>
    <t>魏巍、王东岳、宾洁、姜雨辰</t>
  </si>
  <si>
    <t>今生今世：一段跨越多年的刻骨爱情，历经时代变迁与命运考验，至死不渝。</t>
  </si>
  <si>
    <t>（湘）剧审字（2009）第005号</t>
  </si>
  <si>
    <t>少儿</t>
  </si>
  <si>
    <t>电竞</t>
  </si>
  <si>
    <t>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</si>
</sst>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40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  <font>
      <sz val="11"/>
      <name val="宋体"/>
      <charset val="0"/>
      <scheme val="minor"/>
    </font>
    <font>
      <sz val="14"/>
      <color rgb="FF000000"/>
      <name val="Microsoft YaHei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.75"/>
      <color theme="1"/>
      <name val="pingfang sc"/>
      <charset val="134"/>
    </font>
    <font>
      <b/>
      <sz val="16"/>
      <color rgb="FFFF0000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PingFang SC"/>
      <charset val="134"/>
    </font>
    <font>
      <sz val="10"/>
      <name val="宋体"/>
      <charset val="134"/>
    </font>
    <font>
      <sz val="9"/>
      <name val="宋体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10" borderId="19" applyNumberFormat="0" applyAlignment="0" applyProtection="0">
      <alignment vertical="center"/>
    </xf>
    <xf numFmtId="0" fontId="25" fillId="10" borderId="18" applyNumberFormat="0" applyAlignment="0" applyProtection="0">
      <alignment vertical="center"/>
    </xf>
    <xf numFmtId="0" fontId="26" fillId="11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 applyAlignment="1">
      <alignment vertical="center" wrapText="1"/>
    </xf>
    <xf numFmtId="49" fontId="7" fillId="4" borderId="0" xfId="6" applyNumberFormat="1" applyFont="1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8" fillId="5" borderId="0" xfId="0" applyFont="1" applyFill="1" applyAlignment="1">
      <alignment vertical="center" wrapText="1"/>
    </xf>
    <xf numFmtId="49" fontId="0" fillId="5" borderId="0" xfId="0" applyNumberFormat="1" applyFill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9" fillId="5" borderId="0" xfId="6" applyFont="1" applyFill="1" applyAlignment="1">
      <alignment vertical="center" wrapText="1"/>
    </xf>
    <xf numFmtId="0" fontId="10" fillId="0" borderId="0" xfId="0" applyFont="1">
      <alignment vertical="center"/>
    </xf>
    <xf numFmtId="0" fontId="0" fillId="0" borderId="0" xfId="0" applyFont="1">
      <alignment vertical="center"/>
    </xf>
    <xf numFmtId="0" fontId="11" fillId="0" borderId="0" xfId="6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12" fillId="4" borderId="0" xfId="6" applyFill="1">
      <alignment vertical="center"/>
    </xf>
    <xf numFmtId="49" fontId="0" fillId="5" borderId="0" xfId="0" applyNumberFormat="1" applyFill="1">
      <alignment vertical="center"/>
    </xf>
    <xf numFmtId="0" fontId="7" fillId="5" borderId="0" xfId="6" applyFont="1" applyFill="1">
      <alignment vertical="center"/>
    </xf>
    <xf numFmtId="0" fontId="0" fillId="5" borderId="0" xfId="0" applyFill="1">
      <alignment vertical="center"/>
    </xf>
    <xf numFmtId="0" fontId="12" fillId="5" borderId="0" xfId="6" applyFill="1">
      <alignment vertical="center"/>
    </xf>
    <xf numFmtId="0" fontId="13" fillId="0" borderId="0" xfId="0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4" fillId="0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7" borderId="8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0" xfId="0" applyFill="1" applyBorder="1">
      <alignment vertical="center"/>
    </xf>
    <xf numFmtId="0" fontId="0" fillId="7" borderId="0" xfId="0" applyFill="1" applyBorder="1">
      <alignment vertical="center"/>
    </xf>
    <xf numFmtId="0" fontId="0" fillId="7" borderId="11" xfId="0" applyFill="1" applyBorder="1">
      <alignment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7" borderId="12" xfId="0" applyFill="1" applyBorder="1">
      <alignment vertical="center"/>
    </xf>
    <xf numFmtId="0" fontId="0" fillId="7" borderId="13" xfId="0" applyFill="1" applyBorder="1">
      <alignment vertical="center"/>
    </xf>
    <xf numFmtId="0" fontId="0" fillId="7" borderId="14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2146935</xdr:colOff>
      <xdr:row>31</xdr:row>
      <xdr:rowOff>127635</xdr:rowOff>
    </xdr:from>
    <xdr:to>
      <xdr:col>9</xdr:col>
      <xdr:colOff>303530</xdr:colOff>
      <xdr:row>31</xdr:row>
      <xdr:rowOff>127635</xdr:rowOff>
    </xdr:to>
    <xdr:cxnSp>
      <xdr:nvCxnSpPr>
        <xdr:cNvPr id="2" name="直接箭头连接符 1"/>
        <xdr:cNvCxnSpPr/>
      </xdr:nvCxnSpPr>
      <xdr:spPr>
        <a:xfrm>
          <a:off x="4491990" y="12384405"/>
          <a:ext cx="1156017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37465</xdr:colOff>
      <xdr:row>32</xdr:row>
      <xdr:rowOff>210820</xdr:rowOff>
    </xdr:from>
    <xdr:to>
      <xdr:col>23</xdr:col>
      <xdr:colOff>386715</xdr:colOff>
      <xdr:row>59</xdr:row>
      <xdr:rowOff>88265</xdr:rowOff>
    </xdr:to>
    <xdr:pic>
      <xdr:nvPicPr>
        <xdr:cNvPr id="3" name="图片 2" descr="5a5513eb-bfb4-4383-9e6b-2141f55a02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96715" y="12680950"/>
          <a:ext cx="10068560" cy="5638165"/>
        </a:xfrm>
        <a:prstGeom prst="rect">
          <a:avLst/>
        </a:prstGeom>
      </xdr:spPr>
    </xdr:pic>
    <xdr:clientData/>
  </xdr:twoCellAnchor>
  <xdr:twoCellAnchor>
    <xdr:from>
      <xdr:col>2</xdr:col>
      <xdr:colOff>2473325</xdr:colOff>
      <xdr:row>2</xdr:row>
      <xdr:rowOff>188595</xdr:rowOff>
    </xdr:from>
    <xdr:to>
      <xdr:col>7</xdr:col>
      <xdr:colOff>321310</xdr:colOff>
      <xdr:row>4</xdr:row>
      <xdr:rowOff>135890</xdr:rowOff>
    </xdr:to>
    <xdr:cxnSp>
      <xdr:nvCxnSpPr>
        <xdr:cNvPr id="4" name="直接箭头连接符 3"/>
        <xdr:cNvCxnSpPr/>
      </xdr:nvCxnSpPr>
      <xdr:spPr>
        <a:xfrm>
          <a:off x="4818380" y="1242695"/>
          <a:ext cx="9593580" cy="3740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258445</xdr:colOff>
      <xdr:row>1</xdr:row>
      <xdr:rowOff>305435</xdr:rowOff>
    </xdr:from>
    <xdr:to>
      <xdr:col>2</xdr:col>
      <xdr:colOff>2515870</xdr:colOff>
      <xdr:row>25</xdr:row>
      <xdr:rowOff>109855</xdr:rowOff>
    </xdr:to>
    <xdr:sp>
      <xdr:nvSpPr>
        <xdr:cNvPr id="5" name="圆角矩形 4"/>
        <xdr:cNvSpPr/>
      </xdr:nvSpPr>
      <xdr:spPr>
        <a:xfrm>
          <a:off x="2603500" y="902335"/>
          <a:ext cx="2257425" cy="728599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86360</xdr:colOff>
      <xdr:row>59</xdr:row>
      <xdr:rowOff>63500</xdr:rowOff>
    </xdr:from>
    <xdr:to>
      <xdr:col>4</xdr:col>
      <xdr:colOff>1854200</xdr:colOff>
      <xdr:row>82</xdr:row>
      <xdr:rowOff>137160</xdr:rowOff>
    </xdr:to>
    <xdr:pic>
      <xdr:nvPicPr>
        <xdr:cNvPr id="6" name="图片 5" descr="6b9ac0b0-b476-4f7c-a5e9-4f585ac21bc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360" y="18294350"/>
          <a:ext cx="9474200" cy="4980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18415</xdr:colOff>
      <xdr:row>2</xdr:row>
      <xdr:rowOff>41275</xdr:rowOff>
    </xdr:from>
    <xdr:to>
      <xdr:col>28</xdr:col>
      <xdr:colOff>310515</xdr:colOff>
      <xdr:row>15</xdr:row>
      <xdr:rowOff>15875</xdr:rowOff>
    </xdr:to>
    <xdr:pic>
      <xdr:nvPicPr>
        <xdr:cNvPr id="3" name="图片 2" descr="69495233d38754cc1f3ba759c4814a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29655" y="635635"/>
          <a:ext cx="10045700" cy="5059680"/>
        </a:xfrm>
        <a:prstGeom prst="rect">
          <a:avLst/>
        </a:prstGeom>
      </xdr:spPr>
    </xdr:pic>
    <xdr:clientData/>
  </xdr:twoCellAnchor>
  <xdr:twoCellAnchor editAs="oneCell">
    <xdr:from>
      <xdr:col>12</xdr:col>
      <xdr:colOff>83185</xdr:colOff>
      <xdr:row>19</xdr:row>
      <xdr:rowOff>30480</xdr:rowOff>
    </xdr:from>
    <xdr:to>
      <xdr:col>26</xdr:col>
      <xdr:colOff>285115</xdr:colOff>
      <xdr:row>30</xdr:row>
      <xdr:rowOff>133985</xdr:rowOff>
    </xdr:to>
    <xdr:pic>
      <xdr:nvPicPr>
        <xdr:cNvPr id="4" name="图片 3" descr="19f8965acf3dbcefb9d28803b464b3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94425" y="6563360"/>
          <a:ext cx="8736330" cy="2450465"/>
        </a:xfrm>
        <a:prstGeom prst="rect">
          <a:avLst/>
        </a:prstGeom>
      </xdr:spPr>
    </xdr:pic>
    <xdr:clientData/>
  </xdr:twoCellAnchor>
  <xdr:twoCellAnchor editAs="oneCell">
    <xdr:from>
      <xdr:col>31</xdr:col>
      <xdr:colOff>12700</xdr:colOff>
      <xdr:row>2</xdr:row>
      <xdr:rowOff>12700</xdr:rowOff>
    </xdr:from>
    <xdr:to>
      <xdr:col>46</xdr:col>
      <xdr:colOff>267335</xdr:colOff>
      <xdr:row>21</xdr:row>
      <xdr:rowOff>23495</xdr:rowOff>
    </xdr:to>
    <xdr:pic>
      <xdr:nvPicPr>
        <xdr:cNvPr id="5" name="图片 4" descr="ef99ee0c460c24a92347c888f95214a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06340" y="607060"/>
          <a:ext cx="10042525" cy="6376035"/>
        </a:xfrm>
        <a:prstGeom prst="rect">
          <a:avLst/>
        </a:prstGeom>
      </xdr:spPr>
    </xdr:pic>
    <xdr:clientData/>
  </xdr:twoCellAnchor>
  <xdr:twoCellAnchor editAs="oneCell">
    <xdr:from>
      <xdr:col>31</xdr:col>
      <xdr:colOff>12700</xdr:colOff>
      <xdr:row>23</xdr:row>
      <xdr:rowOff>213995</xdr:rowOff>
    </xdr:from>
    <xdr:to>
      <xdr:col>46</xdr:col>
      <xdr:colOff>267335</xdr:colOff>
      <xdr:row>54</xdr:row>
      <xdr:rowOff>97155</xdr:rowOff>
    </xdr:to>
    <xdr:pic>
      <xdr:nvPicPr>
        <xdr:cNvPr id="6" name="图片 5" descr="7b86bc04d3d663e52e7a329d3ca0fe9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06340" y="7599680"/>
          <a:ext cx="10042525" cy="6497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://36.133.168.235:18181/img/&#21095;&#38598;&#21517;&#31216;&#30340;&#39318;&#23383;&#27597;_ht.jpg" TargetMode="External"/><Relationship Id="rId5" Type="http://schemas.openxmlformats.org/officeDocument/2006/relationships/hyperlink" Target="http://36.133.168.235:18181/img/&#21095;&#38598;&#21517;&#31216;&#30340;&#39318;&#23383;&#27597;_st.jpg" TargetMode="External"/><Relationship Id="rId4" Type="http://schemas.openxmlformats.org/officeDocument/2006/relationships/hyperlink" Target="http://36.133.168.235:18181/img/jkrdiydbp_ht.jpg" TargetMode="External"/><Relationship Id="rId3" Type="http://schemas.openxmlformats.org/officeDocument/2006/relationships/hyperlink" Target="http://36.133.168.235:18181/img/jkrdiydbp_st.jp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ftp://ftpmediazjyd:rD2q0y1M5eI@36.133.168.235:2121/media/hnyd/shaoer/jkrdiydbp/jkrdiydbp005.ts" TargetMode="External"/><Relationship Id="rId8" Type="http://schemas.openxmlformats.org/officeDocument/2006/relationships/hyperlink" Target="ftp://ftpmediazjyd:rD2q0y1M5eI@36.133.168.235:2121/media/hnyd/shaoer/jkrdiydbp/jkrdiydbp004.ts" TargetMode="External"/><Relationship Id="rId7" Type="http://schemas.openxmlformats.org/officeDocument/2006/relationships/hyperlink" Target="ftp://ftpmediazjyd:rD2q0y1M5eI@36.133.168.235:2121/media/hnyd/shaoer/jkrdiydbp/jkrdiydbp003.ts" TargetMode="External"/><Relationship Id="rId6" Type="http://schemas.openxmlformats.org/officeDocument/2006/relationships/hyperlink" Target="ftp://ftpmediazjyd:rD2q0y1M5eI@36.133.168.235:2121/media/hnyd/shaoer/jkrdiydbp/jkrdiydbp002.ts" TargetMode="External"/><Relationship Id="rId55" Type="http://schemas.openxmlformats.org/officeDocument/2006/relationships/hyperlink" Target="ftp://ftpmediazjyd:rD2q0y1M5eI@36.133.168.235:2121/media/hnyd/&#12304;shaoer/mqxt/rywg&#12305;/&#12304;&#21095;&#38598;&#21517;&#31216;&#30340;&#39318;&#23383;&#27597;&#12305;/&#12304;&#21095;&#38598;&#21517;&#31216;&#30340;&#39318;&#23383;&#27597;&#12305;+&#12304;0**&#12305;.ts" TargetMode="External"/><Relationship Id="rId54" Type="http://schemas.openxmlformats.org/officeDocument/2006/relationships/hyperlink" Target="ftp://ftpmediazjyd:rD2q0y1M5eI@36.133.168.235:2121/media/hnyd/shaoer/jkrdiydbp/jkrdiydbp050.ts" TargetMode="External"/><Relationship Id="rId53" Type="http://schemas.openxmlformats.org/officeDocument/2006/relationships/hyperlink" Target="ftp://ftpmediazjyd:rD2q0y1M5eI@36.133.168.235:2121/media/hnyd/shaoer/jkrdiydbp/jkrdiydbp049.ts" TargetMode="External"/><Relationship Id="rId52" Type="http://schemas.openxmlformats.org/officeDocument/2006/relationships/hyperlink" Target="ftp://ftpmediazjyd:rD2q0y1M5eI@36.133.168.235:2121/media/hnyd/shaoer/jkrdiydbp/jkrdiydbp048.ts" TargetMode="External"/><Relationship Id="rId51" Type="http://schemas.openxmlformats.org/officeDocument/2006/relationships/hyperlink" Target="ftp://ftpmediazjyd:rD2q0y1M5eI@36.133.168.235:2121/media/hnyd/shaoer/jkrdiydbp/jkrdiydbp047.ts" TargetMode="External"/><Relationship Id="rId50" Type="http://schemas.openxmlformats.org/officeDocument/2006/relationships/hyperlink" Target="ftp://ftpmediazjyd:rD2q0y1M5eI@36.133.168.235:2121/media/hnyd/shaoer/jkrdiydbp/jkrdiydbp046.ts" TargetMode="External"/><Relationship Id="rId5" Type="http://schemas.openxmlformats.org/officeDocument/2006/relationships/hyperlink" Target="ftp://ftpmediazjyd:rD2q0y1M5eI@36.133.168.235:2121/media/shaoer/hwdtks/hwdtksj01.ts" TargetMode="External"/><Relationship Id="rId49" Type="http://schemas.openxmlformats.org/officeDocument/2006/relationships/hyperlink" Target="ftp://ftpmediazjyd:rD2q0y1M5eI@36.133.168.235:2121/media/hnyd/shaoer/jkrdiydbp/jkrdiydbp045.ts" TargetMode="External"/><Relationship Id="rId48" Type="http://schemas.openxmlformats.org/officeDocument/2006/relationships/hyperlink" Target="ftp://ftpmediazjyd:rD2q0y1M5eI@36.133.168.235:2121/media/hnyd/shaoer/jkrdiydbp/jkrdiydbp044.ts" TargetMode="External"/><Relationship Id="rId47" Type="http://schemas.openxmlformats.org/officeDocument/2006/relationships/hyperlink" Target="ftp://ftpmediazjyd:rD2q0y1M5eI@36.133.168.235:2121/media/hnyd/shaoer/jkrdiydbp/jkrdiydbp043.ts" TargetMode="External"/><Relationship Id="rId46" Type="http://schemas.openxmlformats.org/officeDocument/2006/relationships/hyperlink" Target="ftp://ftpmediazjyd:rD2q0y1M5eI@36.133.168.235:2121/media/hnyd/shaoer/jkrdiydbp/jkrdiydbp042.ts" TargetMode="External"/><Relationship Id="rId45" Type="http://schemas.openxmlformats.org/officeDocument/2006/relationships/hyperlink" Target="ftp://ftpmediazjyd:rD2q0y1M5eI@36.133.168.235:2121/media/hnyd/shaoer/jkrdiydbp/jkrdiydbp041.ts" TargetMode="External"/><Relationship Id="rId44" Type="http://schemas.openxmlformats.org/officeDocument/2006/relationships/hyperlink" Target="ftp://ftpmediazjyd:rD2q0y1M5eI@36.133.168.235:2121/media/hnyd/shaoer/jkrdiydbp/jkrdiydbp040.ts" TargetMode="External"/><Relationship Id="rId43" Type="http://schemas.openxmlformats.org/officeDocument/2006/relationships/hyperlink" Target="ftp://ftpmediazjyd:rD2q0y1M5eI@36.133.168.235:2121/media/hnyd/shaoer/jkrdiydbp/jkrdiydbp039.ts" TargetMode="External"/><Relationship Id="rId42" Type="http://schemas.openxmlformats.org/officeDocument/2006/relationships/hyperlink" Target="ftp://ftpmediazjyd:rD2q0y1M5eI@36.133.168.235:2121/media/hnyd/shaoer/jkrdiydbp/jkrdiydbp038.ts" TargetMode="External"/><Relationship Id="rId41" Type="http://schemas.openxmlformats.org/officeDocument/2006/relationships/hyperlink" Target="ftp://ftpmediazjyd:rD2q0y1M5eI@36.133.168.235:2121/media/hnyd/shaoer/jkrdiydbp/jkrdiydbp037.ts" TargetMode="External"/><Relationship Id="rId40" Type="http://schemas.openxmlformats.org/officeDocument/2006/relationships/hyperlink" Target="ftp://ftpmediazjyd:rD2q0y1M5eI@36.133.168.235:2121/media/hnyd/shaoer/jkrdiydbp/jkrdiydbp036.ts" TargetMode="External"/><Relationship Id="rId4" Type="http://schemas.openxmlformats.org/officeDocument/2006/relationships/hyperlink" Target="ftp://ftpmediazjyd:rD2q0y1M5eI@36.133.168.235:2121/media/hnyd/shaoer/jkrdiydbp/jkrdiydbp001.ts" TargetMode="External"/><Relationship Id="rId39" Type="http://schemas.openxmlformats.org/officeDocument/2006/relationships/hyperlink" Target="ftp://ftpmediazjyd:rD2q0y1M5eI@36.133.168.235:2121/media/hnyd/shaoer/jkrdiydbp/jkrdiydbp035.ts" TargetMode="External"/><Relationship Id="rId38" Type="http://schemas.openxmlformats.org/officeDocument/2006/relationships/hyperlink" Target="ftp://ftpmediazjyd:rD2q0y1M5eI@36.133.168.235:2121/media/hnyd/shaoer/jkrdiydbp/jkrdiydbp034.ts" TargetMode="External"/><Relationship Id="rId37" Type="http://schemas.openxmlformats.org/officeDocument/2006/relationships/hyperlink" Target="ftp://ftpmediazjyd:rD2q0y1M5eI@36.133.168.235:2121/media/hnyd/shaoer/jkrdiydbp/jkrdiydbp033.ts" TargetMode="External"/><Relationship Id="rId36" Type="http://schemas.openxmlformats.org/officeDocument/2006/relationships/hyperlink" Target="ftp://ftpmediazjyd:rD2q0y1M5eI@36.133.168.235:2121/media/hnyd/shaoer/jkrdiydbp/jkrdiydbp032.ts" TargetMode="External"/><Relationship Id="rId35" Type="http://schemas.openxmlformats.org/officeDocument/2006/relationships/hyperlink" Target="ftp://ftpmediazjyd:rD2q0y1M5eI@36.133.168.235:2121/media/hnyd/shaoer/jkrdiydbp/jkrdiydbp031.ts" TargetMode="External"/><Relationship Id="rId34" Type="http://schemas.openxmlformats.org/officeDocument/2006/relationships/hyperlink" Target="ftp://ftpmediazjyd:rD2q0y1M5eI@36.133.168.235:2121/media/hnyd/shaoer/jkrdiydbp/jkrdiydbp030.ts" TargetMode="External"/><Relationship Id="rId33" Type="http://schemas.openxmlformats.org/officeDocument/2006/relationships/hyperlink" Target="ftp://ftpmediazjyd:rD2q0y1M5eI@36.133.168.235:2121/media/hnyd/shaoer/jkrdiydbp/jkrdiydbp029.ts" TargetMode="External"/><Relationship Id="rId32" Type="http://schemas.openxmlformats.org/officeDocument/2006/relationships/hyperlink" Target="ftp://ftpmediazjyd:rD2q0y1M5eI@36.133.168.235:2121/media/hnyd/shaoer/jkrdiydbp/jkrdiydbp025.ts" TargetMode="External"/><Relationship Id="rId31" Type="http://schemas.openxmlformats.org/officeDocument/2006/relationships/hyperlink" Target="ftp://ftpmediazjyd:rD2q0y1M5eI@36.133.168.235:2121/media/hnyd/shaoer/jkrdiydbp/jkrdiydbp020.ts" TargetMode="External"/><Relationship Id="rId30" Type="http://schemas.openxmlformats.org/officeDocument/2006/relationships/hyperlink" Target="ftp://ftpmediazjyd:rD2q0y1M5eI@36.133.168.235:2121/media/hnyd/shaoer/jkrdiydbp/jkrdiydbp024.ts" TargetMode="External"/><Relationship Id="rId3" Type="http://schemas.openxmlformats.org/officeDocument/2006/relationships/vmlDrawing" Target="../drawings/vmlDrawing2.vml"/><Relationship Id="rId29" Type="http://schemas.openxmlformats.org/officeDocument/2006/relationships/hyperlink" Target="ftp://ftpmediazjyd:rD2q0y1M5eI@36.133.168.235:2121/media/hnyd/shaoer/jkrdiydbp/jkrdiydbp019.ts" TargetMode="External"/><Relationship Id="rId28" Type="http://schemas.openxmlformats.org/officeDocument/2006/relationships/hyperlink" Target="ftp://ftpmediazjyd:rD2q0y1M5eI@36.133.168.235:2121/media/hnyd/shaoer/jkrdiydbp/jkrdiydbp028.ts" TargetMode="External"/><Relationship Id="rId27" Type="http://schemas.openxmlformats.org/officeDocument/2006/relationships/hyperlink" Target="ftp://ftpmediazjyd:rD2q0y1M5eI@36.133.168.235:2121/media/hnyd/shaoer/jkrdiydbp/jkrdiydbp023.ts" TargetMode="External"/><Relationship Id="rId26" Type="http://schemas.openxmlformats.org/officeDocument/2006/relationships/hyperlink" Target="ftp://ftpmediazjyd:rD2q0y1M5eI@36.133.168.235:2121/media/hnyd/shaoer/jkrdiydbp/jkrdiydbp018.ts" TargetMode="External"/><Relationship Id="rId25" Type="http://schemas.openxmlformats.org/officeDocument/2006/relationships/hyperlink" Target="ftp://ftpmediazjyd:rD2q0y1M5eI@36.133.168.235:2121/media/hnyd/shaoer/jkrdiydbp/jkrdiydbp027.ts" TargetMode="External"/><Relationship Id="rId24" Type="http://schemas.openxmlformats.org/officeDocument/2006/relationships/hyperlink" Target="ftp://ftpmediazjyd:rD2q0y1M5eI@36.133.168.235:2121/media/hnyd/shaoer/jkrdiydbp/jkrdiydbp022.ts" TargetMode="External"/><Relationship Id="rId23" Type="http://schemas.openxmlformats.org/officeDocument/2006/relationships/hyperlink" Target="ftp://ftpmediazjyd:rD2q0y1M5eI@36.133.168.235:2121/media/hnyd/shaoer/jkrdiydbp/jkrdiydbp017.ts" TargetMode="External"/><Relationship Id="rId22" Type="http://schemas.openxmlformats.org/officeDocument/2006/relationships/hyperlink" Target="ftp://ftpmediazjyd:rD2q0y1M5eI@36.133.168.235:2121/media/hnyd/shaoer/jkrdiydbp/jkrdiydbp026.ts" TargetMode="External"/><Relationship Id="rId21" Type="http://schemas.openxmlformats.org/officeDocument/2006/relationships/hyperlink" Target="ftp://ftpmediazjyd:rD2q0y1M5eI@36.133.168.235:2121/media/hnyd/shaoer/jkrdiydbp/jkrdiydbp021.ts" TargetMode="External"/><Relationship Id="rId20" Type="http://schemas.openxmlformats.org/officeDocument/2006/relationships/hyperlink" Target="ftp://ftpmediazjyd:rD2q0y1M5eI@36.133.168.235:2121/media/hnyd/shaoer/jkrdiydbp/jkrdiydbp016.ts" TargetMode="External"/><Relationship Id="rId2" Type="http://schemas.openxmlformats.org/officeDocument/2006/relationships/drawing" Target="../drawings/drawing2.xml"/><Relationship Id="rId19" Type="http://schemas.openxmlformats.org/officeDocument/2006/relationships/hyperlink" Target="ftp://ftpmediazjyd:rD2q0y1M5eI@36.133.168.235:2121/media/hnyd/shaoer/jkrdiydbp/jkrdiydbp015.ts" TargetMode="External"/><Relationship Id="rId18" Type="http://schemas.openxmlformats.org/officeDocument/2006/relationships/hyperlink" Target="ftp://ftpmediazjyd:rD2q0y1M5eI@36.133.168.235:2121/media/hnyd/shaoer/jkrdiydbp/jkrdiydbp014.ts" TargetMode="External"/><Relationship Id="rId17" Type="http://schemas.openxmlformats.org/officeDocument/2006/relationships/hyperlink" Target="ftp://ftpmediazjyd:rD2q0y1M5eI@36.133.168.235:2121/media/hnyd/shaoer/jkrdiydbp/jkrdiydbp013.ts" TargetMode="External"/><Relationship Id="rId16" Type="http://schemas.openxmlformats.org/officeDocument/2006/relationships/hyperlink" Target="ftp://ftpmediazjyd:rD2q0y1M5eI@36.133.168.235:2121/media/hnyd/shaoer/jkrdiydbp/jkrdiydbp012.ts" TargetMode="External"/><Relationship Id="rId15" Type="http://schemas.openxmlformats.org/officeDocument/2006/relationships/hyperlink" Target="ftp://ftpmediazjyd:rD2q0y1M5eI@36.133.168.235:2121/media/hnyd/shaoer/jkrdiydbp/jkrdiydbp011.ts" TargetMode="External"/><Relationship Id="rId14" Type="http://schemas.openxmlformats.org/officeDocument/2006/relationships/hyperlink" Target="ftp://ftpmediazjyd:rD2q0y1M5eI@36.133.168.235:2121/media/hnyd/shaoer/jkrdiydbp/jkrdiydbp010.ts" TargetMode="External"/><Relationship Id="rId13" Type="http://schemas.openxmlformats.org/officeDocument/2006/relationships/hyperlink" Target="ftp://ftpmediazjyd:rD2q0y1M5eI@36.133.168.235:2121/media/hnyd/shaoer/jkrdiydbp/jkrdiydbp009.ts" TargetMode="External"/><Relationship Id="rId12" Type="http://schemas.openxmlformats.org/officeDocument/2006/relationships/hyperlink" Target="ftp://ftpmediazjyd:rD2q0y1M5eI@36.133.168.235:2121/media/hnyd/shaoer/jkrdiydbp/jkrdiydbp008.ts" TargetMode="External"/><Relationship Id="rId11" Type="http://schemas.openxmlformats.org/officeDocument/2006/relationships/hyperlink" Target="ftp://ftpmediazjyd:rD2q0y1M5eI@36.133.168.235:2121/media/hnyd/shaoer/jkrdiydbp/jkrdiydbp007.ts" TargetMode="External"/><Relationship Id="rId10" Type="http://schemas.openxmlformats.org/officeDocument/2006/relationships/hyperlink" Target="ftp://ftpmediazjyd:rD2q0y1M5eI@36.133.168.235:2121/media/hnyd/shaoer/jkrdiydbp/jkrdiydbp006.ts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D15" sqref="D15"/>
    </sheetView>
  </sheetViews>
  <sheetFormatPr defaultColWidth="9.23076923076923" defaultRowHeight="16.8"/>
  <cols>
    <col min="1" max="1" width="17.2211538461538" customWidth="1"/>
    <col min="2" max="2" width="18.2884615384615" customWidth="1"/>
    <col min="3" max="3" width="41.125" style="28" customWidth="1"/>
    <col min="4" max="5" width="40.0576923076923" customWidth="1"/>
    <col min="6" max="6" width="41.5288461538462" style="28" customWidth="1"/>
    <col min="7" max="7" width="15.0865384615385" style="28" customWidth="1"/>
    <col min="8" max="8" width="10.8173076923077" customWidth="1"/>
    <col min="9" max="9" width="14.2884615384615" customWidth="1"/>
    <col min="10" max="10" width="16.8173076923077" customWidth="1"/>
    <col min="11" max="11" width="18.4230769230769" customWidth="1"/>
    <col min="12" max="12" width="21.625" customWidth="1"/>
    <col min="13" max="13" width="14.8173076923077" customWidth="1"/>
  </cols>
  <sheetData>
    <row r="1" ht="47" customHeight="1" spans="1:13">
      <c r="A1" s="41" t="s">
        <v>0</v>
      </c>
      <c r="B1" s="42" t="s">
        <v>1</v>
      </c>
      <c r="C1" s="42"/>
      <c r="D1" s="42"/>
      <c r="E1" s="42"/>
      <c r="F1" s="42"/>
      <c r="G1" s="42"/>
    </row>
    <row r="2" ht="36" customHeight="1" spans="1:13">
      <c r="A2" s="43" t="s">
        <v>2</v>
      </c>
      <c r="B2" s="44" t="s">
        <v>3</v>
      </c>
      <c r="C2" s="45" t="s">
        <v>4</v>
      </c>
      <c r="D2" s="45" t="s">
        <v>5</v>
      </c>
      <c r="E2" s="45" t="s">
        <v>6</v>
      </c>
      <c r="F2" s="45" t="s">
        <v>7</v>
      </c>
      <c r="G2" s="46" t="s">
        <v>8</v>
      </c>
      <c r="H2" s="28"/>
    </row>
    <row r="3" spans="1:13">
      <c r="A3" s="47" t="s">
        <v>9</v>
      </c>
      <c r="B3" s="48" t="s">
        <v>10</v>
      </c>
      <c r="C3" s="49" t="str">
        <f>D34</f>
        <v>河南移动（少儿、教育、电竞）</v>
      </c>
      <c r="D3" s="49"/>
      <c r="E3" s="50" t="s">
        <v>11</v>
      </c>
      <c r="F3" s="51" t="s">
        <v>12</v>
      </c>
      <c r="G3" s="52" t="s">
        <v>13</v>
      </c>
      <c r="H3" s="28"/>
    </row>
    <row r="4" spans="1:13">
      <c r="A4" s="53"/>
      <c r="B4" s="54"/>
      <c r="C4" s="49">
        <f t="shared" ref="C4:C24" si="0">D35</f>
        <v>0</v>
      </c>
      <c r="D4" s="49"/>
      <c r="E4" s="55"/>
      <c r="F4" s="56"/>
      <c r="G4" s="57"/>
      <c r="H4" s="28"/>
      <c r="I4" t="s">
        <v>14</v>
      </c>
    </row>
    <row r="5" ht="17.55" spans="1:13">
      <c r="A5" s="53"/>
      <c r="B5" s="54"/>
      <c r="C5" s="49">
        <f t="shared" si="0"/>
        <v>0</v>
      </c>
      <c r="D5" s="49"/>
      <c r="E5" s="55"/>
      <c r="F5" s="56"/>
      <c r="G5" s="57"/>
      <c r="H5" s="28"/>
    </row>
    <row r="6" spans="1:13">
      <c r="A6" s="53"/>
      <c r="B6" s="54"/>
      <c r="C6" s="49">
        <f t="shared" si="0"/>
        <v>0</v>
      </c>
      <c r="D6" s="49"/>
      <c r="E6" s="55"/>
      <c r="F6" s="56"/>
      <c r="G6" s="57"/>
      <c r="H6" s="28"/>
      <c r="I6" s="58" t="s">
        <v>15</v>
      </c>
      <c r="J6" s="59" t="s">
        <v>16</v>
      </c>
      <c r="K6" s="59" t="s">
        <v>17</v>
      </c>
      <c r="L6" s="60"/>
      <c r="M6" s="61"/>
    </row>
    <row r="7" spans="1:13">
      <c r="A7" s="53"/>
      <c r="B7" s="54"/>
      <c r="C7" s="49">
        <f t="shared" si="0"/>
        <v>0</v>
      </c>
      <c r="D7" s="49"/>
      <c r="E7" s="55"/>
      <c r="F7" s="56"/>
      <c r="G7" s="57"/>
      <c r="H7" s="28"/>
      <c r="I7" s="62"/>
      <c r="J7" s="63"/>
      <c r="K7" s="63"/>
      <c r="L7" s="63"/>
      <c r="M7" s="64"/>
    </row>
    <row r="8" spans="1:13">
      <c r="A8" s="53"/>
      <c r="B8" s="54"/>
      <c r="C8" s="49">
        <f t="shared" si="0"/>
        <v>0</v>
      </c>
      <c r="D8" s="49"/>
      <c r="E8" s="55"/>
      <c r="F8" s="56"/>
      <c r="G8" s="57"/>
      <c r="H8" s="28"/>
      <c r="I8" s="65" t="s">
        <v>18</v>
      </c>
      <c r="J8" s="63"/>
      <c r="K8" s="63"/>
      <c r="L8" s="63"/>
      <c r="M8" s="64"/>
    </row>
    <row r="9" spans="1:13">
      <c r="A9" s="53"/>
      <c r="B9" s="54"/>
      <c r="C9" s="49">
        <f t="shared" si="0"/>
        <v>0</v>
      </c>
      <c r="D9" s="49"/>
      <c r="E9" s="55"/>
      <c r="F9" s="56"/>
      <c r="G9" s="57"/>
      <c r="H9" s="28"/>
      <c r="I9" s="65" t="s">
        <v>19</v>
      </c>
      <c r="J9" s="66"/>
      <c r="K9" s="66"/>
      <c r="L9" s="66"/>
      <c r="M9" s="67"/>
    </row>
    <row r="10" spans="1:13">
      <c r="A10" s="53"/>
      <c r="B10" s="54"/>
      <c r="C10" s="49">
        <f t="shared" si="0"/>
        <v>0</v>
      </c>
      <c r="D10" s="49"/>
      <c r="E10" s="55"/>
      <c r="F10" s="56"/>
      <c r="G10" s="57"/>
      <c r="H10" s="28"/>
      <c r="I10" s="68" t="s">
        <v>20</v>
      </c>
      <c r="J10" s="69"/>
      <c r="K10" s="69"/>
      <c r="L10" s="69"/>
      <c r="M10" s="70"/>
    </row>
    <row r="11" spans="1:13">
      <c r="A11" s="53"/>
      <c r="B11" s="54"/>
      <c r="C11" s="49">
        <f t="shared" si="0"/>
        <v>0</v>
      </c>
      <c r="D11" s="49"/>
      <c r="E11" s="55"/>
      <c r="F11" s="56"/>
      <c r="G11" s="57"/>
      <c r="H11" s="28"/>
      <c r="I11" s="62"/>
      <c r="J11" s="63"/>
      <c r="K11" s="63"/>
      <c r="L11" s="63"/>
      <c r="M11" s="64"/>
    </row>
    <row r="12" spans="1:13">
      <c r="A12" s="53"/>
      <c r="B12" s="54"/>
      <c r="C12" s="49">
        <f t="shared" si="0"/>
        <v>0</v>
      </c>
      <c r="D12" s="49"/>
      <c r="E12" s="55"/>
      <c r="F12" s="56"/>
      <c r="G12" s="57"/>
      <c r="H12" s="28"/>
      <c r="I12" s="62"/>
      <c r="J12" s="63"/>
      <c r="K12" s="63"/>
      <c r="L12" s="63"/>
      <c r="M12" s="64"/>
    </row>
    <row r="13" spans="1:13">
      <c r="A13" s="53"/>
      <c r="B13" s="54"/>
      <c r="C13" s="49">
        <f t="shared" si="0"/>
        <v>0</v>
      </c>
      <c r="D13" s="49"/>
      <c r="E13" s="55"/>
      <c r="F13" s="56"/>
      <c r="G13" s="57"/>
      <c r="H13" s="28"/>
      <c r="I13" s="62"/>
      <c r="J13" s="63"/>
      <c r="K13" s="63"/>
      <c r="L13" s="63"/>
      <c r="M13" s="64"/>
    </row>
    <row r="14" ht="17.55" spans="1:13">
      <c r="A14" s="53"/>
      <c r="B14" s="54"/>
      <c r="C14" s="49">
        <f t="shared" si="0"/>
        <v>0</v>
      </c>
      <c r="D14" s="49"/>
      <c r="E14" s="55"/>
      <c r="F14" s="56"/>
      <c r="G14" s="57"/>
      <c r="H14" s="28"/>
      <c r="I14" s="71"/>
      <c r="J14" s="72"/>
      <c r="K14" s="72"/>
      <c r="L14" s="72"/>
      <c r="M14" s="73"/>
    </row>
    <row r="15" spans="1:13">
      <c r="A15" s="53"/>
      <c r="B15" s="54"/>
      <c r="C15" s="49">
        <f t="shared" si="0"/>
        <v>0</v>
      </c>
      <c r="D15" s="49"/>
      <c r="E15" s="55"/>
      <c r="F15" s="56"/>
      <c r="G15" s="57"/>
      <c r="H15" s="28"/>
    </row>
    <row r="16" spans="1:13">
      <c r="A16" s="53"/>
      <c r="B16" s="54"/>
      <c r="C16" s="49">
        <f t="shared" si="0"/>
        <v>0</v>
      </c>
      <c r="D16" s="49"/>
      <c r="E16" s="55"/>
      <c r="F16" s="56"/>
      <c r="G16" s="57"/>
      <c r="H16" s="28"/>
    </row>
    <row r="17" spans="1:13">
      <c r="A17" s="53"/>
      <c r="B17" s="54"/>
      <c r="C17" s="49">
        <f t="shared" si="0"/>
        <v>0</v>
      </c>
      <c r="D17" s="49"/>
      <c r="E17" s="55"/>
      <c r="F17" s="56"/>
      <c r="G17" s="57"/>
      <c r="H17" s="28"/>
    </row>
    <row r="18" spans="1:13">
      <c r="A18" s="53"/>
      <c r="B18" s="54"/>
      <c r="C18" s="49">
        <f t="shared" si="0"/>
        <v>0</v>
      </c>
      <c r="D18" s="49"/>
      <c r="E18" s="55"/>
      <c r="F18" s="56"/>
      <c r="G18" s="57"/>
      <c r="H18" s="28"/>
    </row>
    <row r="19" spans="1:13">
      <c r="A19" s="53"/>
      <c r="B19" s="54"/>
      <c r="C19" s="49">
        <f t="shared" si="0"/>
        <v>0</v>
      </c>
      <c r="D19" s="49"/>
      <c r="E19" s="55"/>
      <c r="F19" s="56"/>
      <c r="G19" s="57"/>
      <c r="H19" s="28"/>
    </row>
    <row r="20" spans="1:13">
      <c r="A20" s="53"/>
      <c r="B20" s="54"/>
      <c r="C20" s="49">
        <f t="shared" si="0"/>
        <v>0</v>
      </c>
      <c r="D20" s="49"/>
      <c r="E20" s="55"/>
      <c r="F20" s="56"/>
      <c r="G20" s="57"/>
      <c r="H20" s="28"/>
    </row>
    <row r="21" spans="1:13">
      <c r="A21" s="53"/>
      <c r="B21" s="54"/>
      <c r="C21" s="49">
        <f t="shared" si="0"/>
        <v>0</v>
      </c>
      <c r="D21" s="49"/>
      <c r="E21" s="55"/>
      <c r="F21" s="56"/>
      <c r="G21" s="57"/>
      <c r="H21" s="28"/>
    </row>
    <row r="22" spans="1:13">
      <c r="A22" s="53"/>
      <c r="B22" s="54"/>
      <c r="C22" s="49">
        <f t="shared" si="0"/>
        <v>0</v>
      </c>
      <c r="D22" s="49"/>
      <c r="E22" s="55"/>
      <c r="F22" s="56"/>
      <c r="G22" s="57"/>
      <c r="H22" s="28"/>
    </row>
    <row r="23" spans="1:13">
      <c r="A23" s="53"/>
      <c r="B23" s="54"/>
      <c r="C23" s="49">
        <f t="shared" si="0"/>
        <v>0</v>
      </c>
      <c r="D23" s="49"/>
      <c r="E23" s="55"/>
      <c r="F23" s="56"/>
      <c r="G23" s="57"/>
      <c r="H23" s="28"/>
    </row>
    <row r="24" spans="1:13">
      <c r="A24" s="74"/>
      <c r="B24" s="75"/>
      <c r="C24" s="49">
        <f t="shared" si="0"/>
        <v>0</v>
      </c>
      <c r="D24" s="49"/>
      <c r="E24" s="76"/>
      <c r="F24" s="77"/>
      <c r="G24" s="78"/>
      <c r="H24" s="28"/>
    </row>
    <row r="25" ht="182" customHeight="1" spans="1:13">
      <c r="A25" s="79" t="s">
        <v>21</v>
      </c>
      <c r="B25" s="80" t="s">
        <v>22</v>
      </c>
      <c r="C25" s="49"/>
      <c r="D25" s="49"/>
      <c r="E25" s="49"/>
      <c r="F25" s="81" t="s">
        <v>23</v>
      </c>
      <c r="G25" s="49" t="s">
        <v>13</v>
      </c>
      <c r="H25" s="28"/>
    </row>
    <row r="26" ht="245" customHeight="1" spans="1:13">
      <c r="A26" s="79" t="s">
        <v>24</v>
      </c>
      <c r="B26" s="80" t="s">
        <v>25</v>
      </c>
      <c r="C26" s="49"/>
      <c r="D26" s="49"/>
      <c r="E26" s="49"/>
      <c r="F26" s="82" t="s">
        <v>26</v>
      </c>
      <c r="G26" s="83" t="s">
        <v>27</v>
      </c>
      <c r="H26" s="28"/>
    </row>
    <row r="27" spans="1:13">
      <c r="A27" s="79" t="s">
        <v>28</v>
      </c>
      <c r="B27" s="80" t="s">
        <v>29</v>
      </c>
      <c r="C27" s="49"/>
      <c r="D27" s="49"/>
      <c r="E27" s="49"/>
      <c r="F27" s="49"/>
      <c r="G27" s="84"/>
      <c r="H27" s="28"/>
    </row>
    <row r="28" spans="1:13">
      <c r="A28" s="79" t="s">
        <v>30</v>
      </c>
      <c r="B28" s="80" t="s">
        <v>31</v>
      </c>
      <c r="C28" s="49"/>
      <c r="D28" s="49"/>
      <c r="E28" s="49"/>
      <c r="F28" s="49"/>
      <c r="G28" s="85"/>
      <c r="H28" s="28"/>
    </row>
    <row r="29" spans="1:13">
      <c r="A29" s="47" t="s">
        <v>32</v>
      </c>
      <c r="B29" s="48" t="s">
        <v>33</v>
      </c>
      <c r="C29" s="49" t="s">
        <v>34</v>
      </c>
      <c r="D29" s="49"/>
      <c r="E29" s="49"/>
      <c r="F29" s="49" t="s">
        <v>35</v>
      </c>
      <c r="G29" s="49" t="s">
        <v>36</v>
      </c>
      <c r="H29" s="28"/>
    </row>
    <row r="30" spans="1:13">
      <c r="A30" s="53"/>
      <c r="B30" s="54"/>
      <c r="C30" s="49" t="s">
        <v>37</v>
      </c>
      <c r="D30" s="49"/>
      <c r="E30" s="49"/>
      <c r="F30" s="49" t="s">
        <v>35</v>
      </c>
      <c r="G30" s="49"/>
      <c r="H30" s="28"/>
    </row>
    <row r="31" spans="1:13">
      <c r="A31" s="53"/>
      <c r="B31" s="54"/>
      <c r="C31" s="86" t="s">
        <v>38</v>
      </c>
      <c r="D31" s="49"/>
      <c r="E31" s="49"/>
      <c r="F31" s="87" t="s">
        <v>39</v>
      </c>
      <c r="G31" s="87"/>
      <c r="H31" s="28"/>
      <c r="K31" t="s">
        <v>40</v>
      </c>
    </row>
    <row r="32" spans="1:13">
      <c r="A32" s="53"/>
      <c r="B32" s="54"/>
      <c r="C32" s="86" t="s">
        <v>41</v>
      </c>
      <c r="D32" s="49"/>
      <c r="E32" s="49"/>
      <c r="F32" s="87" t="s">
        <v>39</v>
      </c>
      <c r="G32" s="87"/>
      <c r="H32" s="28"/>
      <c r="K32" s="79" t="s">
        <v>42</v>
      </c>
      <c r="L32" s="79" t="s">
        <v>43</v>
      </c>
      <c r="M32" s="79" t="s">
        <v>44</v>
      </c>
    </row>
    <row r="33" spans="1:8">
      <c r="A33" s="53"/>
      <c r="B33" s="54"/>
      <c r="C33" s="86" t="s">
        <v>45</v>
      </c>
      <c r="D33" s="49"/>
      <c r="E33" s="49"/>
      <c r="F33" s="87" t="s">
        <v>39</v>
      </c>
      <c r="G33" s="87"/>
      <c r="H33" s="28"/>
    </row>
    <row r="34" spans="1:8">
      <c r="A34" s="53"/>
      <c r="B34" s="54"/>
      <c r="C34" s="86" t="s">
        <v>46</v>
      </c>
      <c r="D34" s="49" t="s">
        <v>47</v>
      </c>
      <c r="E34" s="49"/>
      <c r="F34" s="86" t="s">
        <v>48</v>
      </c>
      <c r="G34" s="49"/>
      <c r="H34" s="28"/>
    </row>
    <row r="35" spans="1:8">
      <c r="A35" s="53"/>
      <c r="B35" s="54"/>
      <c r="C35" s="88"/>
      <c r="D35" s="49"/>
      <c r="E35" s="49"/>
      <c r="F35" s="88"/>
      <c r="G35" s="49"/>
      <c r="H35" s="28"/>
    </row>
    <row r="36" spans="1:8">
      <c r="A36" s="53"/>
      <c r="B36" s="54"/>
      <c r="C36" s="88"/>
      <c r="D36" s="49"/>
      <c r="E36" s="49"/>
      <c r="F36" s="88"/>
      <c r="G36" s="49"/>
      <c r="H36" s="28"/>
    </row>
    <row r="37" spans="1:8">
      <c r="A37" s="53"/>
      <c r="B37" s="54"/>
      <c r="C37" s="88"/>
      <c r="D37" s="49"/>
      <c r="E37" s="49"/>
      <c r="F37" s="88"/>
      <c r="G37" s="49"/>
      <c r="H37" s="28"/>
    </row>
    <row r="38" spans="1:8">
      <c r="A38" s="53"/>
      <c r="B38" s="54"/>
      <c r="C38" s="88"/>
      <c r="D38" s="49"/>
      <c r="E38" s="49"/>
      <c r="F38" s="88"/>
      <c r="G38" s="49"/>
      <c r="H38" s="28"/>
    </row>
    <row r="39" spans="1:8">
      <c r="A39" s="53"/>
      <c r="B39" s="54"/>
      <c r="C39" s="88"/>
      <c r="D39" s="49"/>
      <c r="E39" s="49"/>
      <c r="F39" s="88"/>
      <c r="G39" s="49"/>
      <c r="H39" s="28"/>
    </row>
    <row r="40" spans="1:8">
      <c r="A40" s="53"/>
      <c r="B40" s="54"/>
      <c r="C40" s="88"/>
      <c r="D40" s="49"/>
      <c r="E40" s="49"/>
      <c r="F40" s="88"/>
      <c r="G40" s="49"/>
      <c r="H40" s="28"/>
    </row>
    <row r="41" spans="1:8">
      <c r="A41" s="53"/>
      <c r="B41" s="54"/>
      <c r="C41" s="88"/>
      <c r="D41" s="49"/>
      <c r="E41" s="49"/>
      <c r="F41" s="88"/>
      <c r="G41" s="49"/>
      <c r="H41" s="28"/>
    </row>
    <row r="42" spans="1:8">
      <c r="A42" s="53"/>
      <c r="B42" s="54"/>
      <c r="C42" s="88"/>
      <c r="D42" s="49"/>
      <c r="E42" s="49"/>
      <c r="F42" s="88"/>
      <c r="G42" s="49"/>
      <c r="H42" s="28"/>
    </row>
    <row r="43" spans="1:8">
      <c r="A43" s="53"/>
      <c r="B43" s="54"/>
      <c r="C43" s="88"/>
      <c r="D43" s="49"/>
      <c r="E43" s="49"/>
      <c r="F43" s="88"/>
      <c r="G43" s="49"/>
      <c r="H43" s="28"/>
    </row>
    <row r="44" spans="1:8">
      <c r="A44" s="53"/>
      <c r="B44" s="54"/>
      <c r="C44" s="88"/>
      <c r="D44" s="49"/>
      <c r="E44" s="49"/>
      <c r="F44" s="88"/>
      <c r="G44" s="49"/>
      <c r="H44" s="28"/>
    </row>
    <row r="45" spans="1:8">
      <c r="A45" s="53"/>
      <c r="B45" s="54"/>
      <c r="C45" s="88"/>
      <c r="D45" s="49"/>
      <c r="E45" s="49"/>
      <c r="F45" s="88"/>
      <c r="G45" s="49"/>
      <c r="H45" s="28"/>
    </row>
    <row r="46" spans="1:8">
      <c r="A46" s="53"/>
      <c r="B46" s="54"/>
      <c r="C46" s="88"/>
      <c r="D46" s="49"/>
      <c r="E46" s="49"/>
      <c r="F46" s="88"/>
      <c r="G46" s="49"/>
      <c r="H46" s="28"/>
    </row>
    <row r="47" spans="1:8">
      <c r="A47" s="53"/>
      <c r="B47" s="54"/>
      <c r="C47" s="88"/>
      <c r="D47" s="49"/>
      <c r="E47" s="49"/>
      <c r="F47" s="88"/>
      <c r="G47" s="49"/>
      <c r="H47" s="28"/>
    </row>
    <row r="48" spans="1:8">
      <c r="A48" s="53"/>
      <c r="B48" s="54"/>
      <c r="C48" s="88"/>
      <c r="D48" s="49"/>
      <c r="E48" s="49"/>
      <c r="F48" s="88"/>
      <c r="G48" s="49"/>
      <c r="H48" s="28"/>
    </row>
    <row r="49" spans="1:8">
      <c r="A49" s="53"/>
      <c r="B49" s="54"/>
      <c r="C49" s="88"/>
      <c r="D49" s="49"/>
      <c r="E49" s="49"/>
      <c r="F49" s="88"/>
      <c r="G49" s="49"/>
      <c r="H49" s="28"/>
    </row>
    <row r="50" spans="1:8">
      <c r="A50" s="53"/>
      <c r="B50" s="54"/>
      <c r="C50" s="88"/>
      <c r="D50" s="10"/>
      <c r="E50" s="10"/>
      <c r="F50" s="88"/>
      <c r="G50" s="49"/>
      <c r="H50" s="28"/>
    </row>
    <row r="51" spans="1:8">
      <c r="A51" s="53"/>
      <c r="B51" s="54"/>
      <c r="C51" s="88"/>
      <c r="D51" s="10"/>
      <c r="E51" s="10"/>
      <c r="F51" s="88"/>
      <c r="G51" s="49"/>
      <c r="H51" s="28"/>
    </row>
    <row r="52" spans="1:8">
      <c r="A52" s="53"/>
      <c r="B52" s="54"/>
      <c r="C52" s="88"/>
      <c r="D52" s="10"/>
      <c r="E52" s="10"/>
      <c r="F52" s="88"/>
      <c r="G52" s="49"/>
      <c r="H52" s="28"/>
    </row>
    <row r="53" spans="1:8">
      <c r="A53" s="53"/>
      <c r="B53" s="54"/>
      <c r="C53" s="88"/>
      <c r="D53" s="10"/>
      <c r="E53" s="10"/>
      <c r="F53" s="88"/>
      <c r="G53" s="49"/>
      <c r="H53" s="28"/>
    </row>
    <row r="54" spans="1:8">
      <c r="A54" s="53"/>
      <c r="B54" s="54"/>
      <c r="C54" s="88"/>
      <c r="D54" s="10"/>
      <c r="E54" s="10"/>
      <c r="F54" s="88"/>
      <c r="G54" s="49"/>
      <c r="H54" s="28"/>
    </row>
    <row r="55" spans="1:8">
      <c r="A55" s="53"/>
      <c r="B55" s="54"/>
      <c r="C55" s="88"/>
      <c r="D55" s="10"/>
      <c r="E55" s="10"/>
      <c r="F55" s="88"/>
      <c r="G55" s="49"/>
      <c r="H55" s="28"/>
    </row>
    <row r="56" spans="1:8">
      <c r="A56" s="74"/>
      <c r="B56" s="75"/>
      <c r="C56" s="46"/>
      <c r="D56" s="10"/>
      <c r="E56" s="89"/>
      <c r="F56" s="46"/>
      <c r="G56" s="49"/>
      <c r="H56" s="28"/>
    </row>
    <row r="58" spans="1:8">
      <c r="A58" t="s">
        <v>49</v>
      </c>
    </row>
  </sheetData>
  <mergeCells count="14">
    <mergeCell ref="B1:G1"/>
    <mergeCell ref="I9:M9"/>
    <mergeCell ref="I10:M10"/>
    <mergeCell ref="A3:A24"/>
    <mergeCell ref="A29:A56"/>
    <mergeCell ref="B3:B24"/>
    <mergeCell ref="B29:B56"/>
    <mergeCell ref="C34:C56"/>
    <mergeCell ref="E3:E24"/>
    <mergeCell ref="F3:F24"/>
    <mergeCell ref="F34:F56"/>
    <mergeCell ref="G3:G24"/>
    <mergeCell ref="G26:G28"/>
    <mergeCell ref="G29:G3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zoomScale="110" zoomScaleNormal="110" topLeftCell="L1" workbookViewId="0">
      <selection activeCell="B9" sqref="B9"/>
    </sheetView>
  </sheetViews>
  <sheetFormatPr defaultColWidth="9.23076923076923" defaultRowHeight="16.8" outlineLevelRow="4"/>
  <cols>
    <col min="1" max="1" width="13.8365384615385" customWidth="1"/>
    <col min="2" max="2" width="22.875" customWidth="1"/>
    <col min="3" max="3" width="24.6730769230769" customWidth="1"/>
    <col min="4" max="4" width="18.6442307692308" customWidth="1"/>
    <col min="5" max="5" width="13.9423076923077" customWidth="1"/>
    <col min="6" max="6" width="20.3942307692308" customWidth="1"/>
    <col min="7" max="7" width="21.2692307692308" customWidth="1"/>
    <col min="8" max="8" width="18.6442307692308" customWidth="1"/>
    <col min="9" max="9" width="19.2307692307692" customWidth="1"/>
    <col min="10" max="10" width="14.0961538461538" customWidth="1"/>
    <col min="11" max="11" width="21.4134615384615" customWidth="1"/>
    <col min="12" max="12" width="21.2692307692308" customWidth="1"/>
    <col min="13" max="13" width="18.9326923076923" customWidth="1"/>
    <col min="14" max="14" width="28.5576923076923" customWidth="1"/>
    <col min="15" max="15" width="51.8653846153846" customWidth="1"/>
    <col min="16" max="16" width="25.9326923076923" customWidth="1"/>
    <col min="17" max="17" width="65.8461538461538" customWidth="1"/>
    <col min="18" max="18" width="15.7307692307692" customWidth="1"/>
    <col min="19" max="19" width="17.4807692307692" customWidth="1"/>
  </cols>
  <sheetData>
    <row r="1" ht="25" customHeight="1" spans="1:19">
      <c r="A1" t="s">
        <v>50</v>
      </c>
    </row>
    <row r="2" ht="35" customHeight="1" spans="1:19">
      <c r="A2" t="s">
        <v>51</v>
      </c>
      <c r="B2" s="14" t="s">
        <v>52</v>
      </c>
      <c r="C2" s="29" t="s">
        <v>15</v>
      </c>
      <c r="D2" s="29" t="s">
        <v>53</v>
      </c>
      <c r="E2" s="29" t="s">
        <v>54</v>
      </c>
      <c r="F2" s="29" t="s">
        <v>55</v>
      </c>
      <c r="G2" s="29" t="s">
        <v>56</v>
      </c>
      <c r="H2" s="29" t="s">
        <v>57</v>
      </c>
      <c r="I2" s="29" t="s">
        <v>58</v>
      </c>
      <c r="J2" s="29" t="s">
        <v>59</v>
      </c>
      <c r="K2" s="29" t="s">
        <v>60</v>
      </c>
      <c r="L2" s="29" t="s">
        <v>61</v>
      </c>
      <c r="M2" s="29" t="s">
        <v>62</v>
      </c>
      <c r="N2" s="14" t="s">
        <v>63</v>
      </c>
      <c r="O2" s="14" t="s">
        <v>64</v>
      </c>
      <c r="P2" s="14" t="s">
        <v>7</v>
      </c>
      <c r="Q2" s="14" t="s">
        <v>65</v>
      </c>
      <c r="R2" s="14" t="s">
        <v>66</v>
      </c>
      <c r="S2" s="14" t="s">
        <v>67</v>
      </c>
    </row>
    <row r="3" ht="132" customHeight="1" spans="1:19">
      <c r="A3" t="s">
        <v>6</v>
      </c>
      <c r="B3" s="15" t="s">
        <v>68</v>
      </c>
      <c r="C3" s="30" t="s">
        <v>59</v>
      </c>
      <c r="D3" s="16" t="s">
        <v>69</v>
      </c>
      <c r="E3" s="31">
        <v>1</v>
      </c>
      <c r="F3" s="16" t="s">
        <v>70</v>
      </c>
      <c r="G3" s="16" t="s">
        <v>71</v>
      </c>
      <c r="H3" s="16" t="s">
        <v>72</v>
      </c>
      <c r="I3" s="16" t="s">
        <v>73</v>
      </c>
      <c r="J3" s="16" t="s">
        <v>74</v>
      </c>
      <c r="K3" s="16" t="s">
        <v>75</v>
      </c>
      <c r="L3" s="16" t="s">
        <v>76</v>
      </c>
      <c r="M3" s="16" t="s">
        <v>77</v>
      </c>
      <c r="N3" s="32" t="s">
        <v>78</v>
      </c>
      <c r="O3" s="33" t="s">
        <v>79</v>
      </c>
      <c r="P3" s="16" t="s">
        <v>80</v>
      </c>
      <c r="Q3" s="33" t="s">
        <v>81</v>
      </c>
      <c r="R3" s="18">
        <v>1</v>
      </c>
      <c r="S3" s="16" t="s">
        <v>82</v>
      </c>
    </row>
    <row r="4" ht="159" customHeight="1" spans="1:19">
      <c r="A4" t="s">
        <v>83</v>
      </c>
      <c r="B4" s="19" t="s">
        <v>84</v>
      </c>
      <c r="C4" s="20" t="s">
        <v>85</v>
      </c>
      <c r="D4" s="34"/>
      <c r="E4" s="20" t="s">
        <v>86</v>
      </c>
      <c r="F4" s="20"/>
      <c r="G4" s="20"/>
      <c r="H4" s="20" t="s">
        <v>87</v>
      </c>
      <c r="I4" s="34"/>
      <c r="J4" s="34"/>
      <c r="K4" s="34"/>
      <c r="L4" s="34"/>
      <c r="M4" s="34"/>
      <c r="N4" s="22" t="s">
        <v>88</v>
      </c>
      <c r="O4" s="35" t="s">
        <v>79</v>
      </c>
      <c r="P4" s="36"/>
      <c r="Q4" s="37" t="s">
        <v>81</v>
      </c>
      <c r="R4" s="22" t="s">
        <v>89</v>
      </c>
      <c r="S4" s="36"/>
    </row>
    <row r="5" ht="20.4" spans="1:19">
      <c r="A5" t="s">
        <v>90</v>
      </c>
      <c r="B5" s="24"/>
      <c r="C5" s="38" t="s">
        <v>91</v>
      </c>
      <c r="D5" s="39" t="s">
        <v>92</v>
      </c>
      <c r="E5" s="40" t="s">
        <v>93</v>
      </c>
      <c r="F5" s="40" t="s">
        <v>94</v>
      </c>
      <c r="G5" s="40" t="s">
        <v>95</v>
      </c>
      <c r="H5" s="40" t="s">
        <v>96</v>
      </c>
      <c r="I5" s="39" t="s">
        <v>97</v>
      </c>
      <c r="J5" s="39" t="s">
        <v>98</v>
      </c>
      <c r="K5" s="39" t="s">
        <v>99</v>
      </c>
      <c r="L5" s="38" t="s">
        <v>91</v>
      </c>
      <c r="M5" s="39" t="s">
        <v>100</v>
      </c>
      <c r="N5" s="40">
        <v>3</v>
      </c>
      <c r="O5" s="26" t="s">
        <v>101</v>
      </c>
      <c r="P5" s="38" t="s">
        <v>102</v>
      </c>
      <c r="Q5" s="26" t="s">
        <v>103</v>
      </c>
      <c r="R5">
        <v>1</v>
      </c>
      <c r="S5" s="39" t="s">
        <v>104</v>
      </c>
    </row>
  </sheetData>
  <hyperlinks>
    <hyperlink ref="O5" r:id="rId3" display="http://36.133.168.235:18181/img/jkrdiydbp_st.jpg" tooltip="http://36.133.168.235:18181/img/jkrdiydbp_st.jpg"/>
    <hyperlink ref="Q5" r:id="rId4" display="http://36.133.168.235:18181/img/jkrdiydbp_ht.jpg" tooltip="http://36.133.168.235:18181/img/jkrdiydbp_ht.jpg"/>
    <hyperlink ref="O4" r:id="rId5" display="http://36.133.168.235:18181/img/剧集名称的首字母_st.jpg" tooltip="http://36.133.168.235:18181/img/剧集名称的首字母_st.jpg"/>
    <hyperlink ref="Q4" r:id="rId6" display="http://36.133.168.235:18181/img/剧集名称的首字母_ht.jpg" tooltip="http://36.133.168.235:18181/img/剧集名称的首字母_ht.jpg"/>
    <hyperlink ref="O3" r:id="rId5" display="http://36.133.168.235:18181/img/剧集名称的首字母_st.jpg" tooltip="http://36.133.168.235:18181/img/剧集名称的首字母_st.jpg"/>
    <hyperlink ref="Q3" r:id="rId6" display="http://36.133.168.235:18181/img/剧集名称的首字母_ht.jpg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4"/>
  <sheetViews>
    <sheetView zoomScale="130" zoomScaleNormal="130" topLeftCell="B1" workbookViewId="0">
      <pane ySplit="2" topLeftCell="A3" activePane="bottomLeft" state="frozen"/>
      <selection/>
      <selection pane="bottomLeft" activeCell="D4" sqref="D4"/>
    </sheetView>
  </sheetViews>
  <sheetFormatPr defaultColWidth="9.23076923076923" defaultRowHeight="16.8"/>
  <cols>
    <col min="1" max="1" width="12.8173076923077" customWidth="1"/>
    <col min="2" max="2" width="23.7884615384615" customWidth="1"/>
    <col min="3" max="3" width="28.6538461538462" customWidth="1"/>
    <col min="4" max="4" width="93.6826923076923" customWidth="1"/>
    <col min="5" max="5" width="16.6346153846154" customWidth="1"/>
    <col min="6" max="6" width="18.8557692307692" customWidth="1"/>
    <col min="7" max="7" width="17.8653846153846" customWidth="1"/>
    <col min="8" max="8" width="23.4134615384615" customWidth="1"/>
    <col min="9" max="9" width="21.4423076923077" customWidth="1"/>
    <col min="32" max="32" width="18.9807692307692" customWidth="1"/>
  </cols>
  <sheetData>
    <row r="1" spans="1:32">
      <c r="A1" s="12" t="s">
        <v>105</v>
      </c>
    </row>
    <row r="2" ht="30" customHeight="1" spans="1:32">
      <c r="A2" t="s">
        <v>51</v>
      </c>
      <c r="B2" s="13" t="s">
        <v>106</v>
      </c>
      <c r="C2" s="14" t="s">
        <v>107</v>
      </c>
      <c r="D2" s="14" t="s">
        <v>108</v>
      </c>
      <c r="E2" s="14" t="s">
        <v>109</v>
      </c>
      <c r="F2" s="14" t="s">
        <v>110</v>
      </c>
      <c r="G2" s="13" t="s">
        <v>111</v>
      </c>
      <c r="H2" s="14" t="s">
        <v>112</v>
      </c>
      <c r="I2" s="14" t="s">
        <v>113</v>
      </c>
      <c r="M2" t="s">
        <v>114</v>
      </c>
      <c r="AF2" t="s">
        <v>115</v>
      </c>
    </row>
    <row r="3" ht="50" customHeight="1" spans="1:32">
      <c r="A3" t="s">
        <v>6</v>
      </c>
      <c r="B3" s="15" t="s">
        <v>68</v>
      </c>
      <c r="C3" s="16" t="s">
        <v>116</v>
      </c>
      <c r="D3" s="17" t="s">
        <v>117</v>
      </c>
      <c r="E3" s="18">
        <v>1</v>
      </c>
      <c r="F3" s="18">
        <v>1</v>
      </c>
      <c r="G3" s="15" t="s">
        <v>68</v>
      </c>
      <c r="H3" s="15" t="s">
        <v>118</v>
      </c>
      <c r="I3" s="15" t="s">
        <v>118</v>
      </c>
    </row>
    <row r="4" ht="162" customHeight="1" spans="1:32">
      <c r="A4" t="s">
        <v>83</v>
      </c>
      <c r="B4" s="19" t="s">
        <v>84</v>
      </c>
      <c r="C4" s="20" t="s">
        <v>119</v>
      </c>
      <c r="D4" s="21" t="s">
        <v>120</v>
      </c>
      <c r="E4" s="22" t="s">
        <v>121</v>
      </c>
      <c r="F4" s="22" t="s">
        <v>122</v>
      </c>
      <c r="G4" s="22" t="s">
        <v>123</v>
      </c>
      <c r="H4" s="23" t="s">
        <v>124</v>
      </c>
      <c r="I4" s="23" t="s">
        <v>125</v>
      </c>
    </row>
    <row r="5" ht="20.4" spans="1:32">
      <c r="A5" t="s">
        <v>90</v>
      </c>
      <c r="B5" s="24"/>
      <c r="C5" s="25" t="s">
        <v>126</v>
      </c>
      <c r="D5" s="26" t="s">
        <v>127</v>
      </c>
      <c r="E5">
        <v>1</v>
      </c>
      <c r="F5">
        <v>1</v>
      </c>
      <c r="G5">
        <v>1</v>
      </c>
      <c r="H5" s="27">
        <v>14700</v>
      </c>
      <c r="I5" s="27">
        <v>109219840</v>
      </c>
    </row>
    <row r="6" spans="1:32">
      <c r="C6" s="25" t="s">
        <v>128</v>
      </c>
      <c r="D6" s="26" t="s">
        <v>129</v>
      </c>
      <c r="E6">
        <v>1</v>
      </c>
      <c r="F6">
        <v>1</v>
      </c>
      <c r="G6">
        <v>2</v>
      </c>
      <c r="H6" s="27">
        <v>15700</v>
      </c>
      <c r="I6" s="27">
        <v>119806976</v>
      </c>
    </row>
    <row r="7" spans="1:32">
      <c r="C7" s="25" t="s">
        <v>130</v>
      </c>
      <c r="D7" s="26" t="s">
        <v>131</v>
      </c>
      <c r="E7">
        <v>1</v>
      </c>
      <c r="F7">
        <v>1</v>
      </c>
      <c r="G7">
        <v>3</v>
      </c>
      <c r="H7" s="27">
        <v>13800</v>
      </c>
      <c r="I7" s="27">
        <v>99091456</v>
      </c>
    </row>
    <row r="8" spans="1:32">
      <c r="C8" s="25" t="s">
        <v>132</v>
      </c>
      <c r="D8" s="26" t="s">
        <v>133</v>
      </c>
      <c r="E8">
        <v>1</v>
      </c>
      <c r="F8">
        <v>1</v>
      </c>
      <c r="G8">
        <v>4</v>
      </c>
      <c r="H8" s="27">
        <v>13500</v>
      </c>
      <c r="I8" s="27">
        <v>96294912</v>
      </c>
    </row>
    <row r="9" spans="1:32">
      <c r="C9" s="25" t="s">
        <v>134</v>
      </c>
      <c r="D9" s="26" t="s">
        <v>135</v>
      </c>
      <c r="E9">
        <v>1</v>
      </c>
      <c r="F9">
        <v>1</v>
      </c>
      <c r="G9">
        <v>5</v>
      </c>
      <c r="H9" s="27">
        <v>20100</v>
      </c>
      <c r="I9" s="27">
        <v>122106880</v>
      </c>
    </row>
    <row r="10" spans="1:32">
      <c r="C10" s="25" t="s">
        <v>136</v>
      </c>
      <c r="D10" s="26" t="s">
        <v>137</v>
      </c>
      <c r="E10">
        <v>1</v>
      </c>
      <c r="F10">
        <v>1</v>
      </c>
      <c r="G10">
        <v>6</v>
      </c>
      <c r="H10" s="27">
        <v>15800</v>
      </c>
      <c r="I10" s="27">
        <v>121795584</v>
      </c>
    </row>
    <row r="11" spans="1:32">
      <c r="C11" s="25" t="s">
        <v>138</v>
      </c>
      <c r="D11" s="26" t="s">
        <v>139</v>
      </c>
      <c r="E11">
        <v>1</v>
      </c>
      <c r="F11">
        <v>1</v>
      </c>
      <c r="G11">
        <v>7</v>
      </c>
      <c r="H11" s="27">
        <v>20300</v>
      </c>
      <c r="I11" s="27">
        <v>125442048</v>
      </c>
    </row>
    <row r="12" spans="1:32">
      <c r="C12" s="25" t="s">
        <v>140</v>
      </c>
      <c r="D12" s="26" t="s">
        <v>141</v>
      </c>
      <c r="E12">
        <v>1</v>
      </c>
      <c r="F12">
        <v>1</v>
      </c>
      <c r="G12">
        <v>8</v>
      </c>
      <c r="H12" s="27">
        <v>21900</v>
      </c>
      <c r="I12" s="27">
        <v>143191040</v>
      </c>
    </row>
    <row r="13" spans="1:32">
      <c r="C13" s="25" t="s">
        <v>142</v>
      </c>
      <c r="D13" s="26" t="s">
        <v>143</v>
      </c>
      <c r="E13">
        <v>1</v>
      </c>
      <c r="F13">
        <v>1</v>
      </c>
      <c r="G13">
        <v>9</v>
      </c>
      <c r="H13" s="27">
        <v>21000</v>
      </c>
      <c r="I13" s="27">
        <v>133484544</v>
      </c>
    </row>
    <row r="14" spans="1:32">
      <c r="C14" s="25" t="s">
        <v>144</v>
      </c>
      <c r="D14" s="26" t="s">
        <v>145</v>
      </c>
      <c r="E14">
        <v>1</v>
      </c>
      <c r="F14">
        <v>1</v>
      </c>
      <c r="G14">
        <v>10</v>
      </c>
      <c r="H14" s="27">
        <v>15700</v>
      </c>
      <c r="I14" s="27">
        <v>118675456</v>
      </c>
    </row>
    <row r="15" spans="1:32">
      <c r="C15" s="25" t="s">
        <v>146</v>
      </c>
      <c r="D15" s="26" t="s">
        <v>147</v>
      </c>
      <c r="E15">
        <v>1</v>
      </c>
      <c r="F15">
        <v>1</v>
      </c>
      <c r="G15">
        <v>11</v>
      </c>
      <c r="H15" s="27">
        <v>21800</v>
      </c>
      <c r="I15" s="27">
        <v>140114944</v>
      </c>
    </row>
    <row r="16" spans="1:32">
      <c r="C16" s="25" t="s">
        <v>148</v>
      </c>
      <c r="D16" s="26" t="s">
        <v>149</v>
      </c>
      <c r="E16">
        <v>1</v>
      </c>
      <c r="F16">
        <v>1</v>
      </c>
      <c r="G16">
        <v>12</v>
      </c>
      <c r="H16" s="27">
        <v>20000</v>
      </c>
      <c r="I16" s="27">
        <v>123518976</v>
      </c>
    </row>
    <row r="17" spans="3:26">
      <c r="C17" s="25" t="s">
        <v>150</v>
      </c>
      <c r="D17" s="26" t="s">
        <v>151</v>
      </c>
      <c r="E17">
        <v>1</v>
      </c>
      <c r="F17">
        <v>1</v>
      </c>
      <c r="G17">
        <v>13</v>
      </c>
      <c r="H17" s="27">
        <v>24800</v>
      </c>
      <c r="I17" s="27">
        <v>172686336</v>
      </c>
    </row>
    <row r="18" spans="3:26">
      <c r="C18" s="25" t="s">
        <v>152</v>
      </c>
      <c r="D18" s="26" t="s">
        <v>153</v>
      </c>
      <c r="E18">
        <v>1</v>
      </c>
      <c r="F18">
        <v>1</v>
      </c>
      <c r="G18">
        <v>14</v>
      </c>
      <c r="H18" s="27">
        <v>30000</v>
      </c>
      <c r="I18" s="27">
        <v>184460288</v>
      </c>
    </row>
    <row r="19" spans="3:26">
      <c r="C19" s="25" t="s">
        <v>154</v>
      </c>
      <c r="D19" s="26" t="s">
        <v>155</v>
      </c>
      <c r="E19">
        <v>1</v>
      </c>
      <c r="F19">
        <v>1</v>
      </c>
      <c r="G19">
        <v>15</v>
      </c>
      <c r="H19" s="27">
        <v>15500</v>
      </c>
      <c r="I19" s="27">
        <v>119968768</v>
      </c>
      <c r="Y19" t="s">
        <v>112</v>
      </c>
      <c r="Z19" s="28" t="s">
        <v>156</v>
      </c>
    </row>
    <row r="20" spans="3:26">
      <c r="C20" s="25" t="s">
        <v>157</v>
      </c>
      <c r="D20" s="26" t="s">
        <v>158</v>
      </c>
      <c r="E20">
        <v>1</v>
      </c>
      <c r="F20">
        <v>1</v>
      </c>
      <c r="G20">
        <v>16</v>
      </c>
      <c r="H20">
        <v>21900</v>
      </c>
      <c r="I20">
        <v>143624192</v>
      </c>
    </row>
    <row r="21" spans="3:26">
      <c r="C21" s="25" t="s">
        <v>159</v>
      </c>
      <c r="D21" s="26" t="s">
        <v>160</v>
      </c>
      <c r="E21">
        <v>1</v>
      </c>
      <c r="F21">
        <v>1</v>
      </c>
      <c r="G21">
        <v>17</v>
      </c>
      <c r="H21">
        <v>23300</v>
      </c>
      <c r="I21">
        <v>156855296</v>
      </c>
    </row>
    <row r="22" spans="3:26">
      <c r="C22" s="25" t="s">
        <v>161</v>
      </c>
      <c r="D22" s="26" t="s">
        <v>162</v>
      </c>
      <c r="E22">
        <v>1</v>
      </c>
      <c r="F22">
        <v>1</v>
      </c>
      <c r="G22">
        <v>18</v>
      </c>
      <c r="H22">
        <v>21800</v>
      </c>
      <c r="I22">
        <v>144392192</v>
      </c>
    </row>
    <row r="23" spans="3:26">
      <c r="C23" s="25" t="s">
        <v>163</v>
      </c>
      <c r="D23" s="26" t="s">
        <v>164</v>
      </c>
      <c r="E23">
        <v>1</v>
      </c>
      <c r="F23">
        <v>1</v>
      </c>
      <c r="G23">
        <v>19</v>
      </c>
      <c r="H23">
        <v>23100</v>
      </c>
      <c r="I23">
        <v>157377536</v>
      </c>
    </row>
    <row r="24" spans="3:26">
      <c r="C24" s="25" t="s">
        <v>165</v>
      </c>
      <c r="D24" s="26" t="s">
        <v>166</v>
      </c>
      <c r="E24">
        <v>1</v>
      </c>
      <c r="F24">
        <v>1</v>
      </c>
      <c r="G24">
        <v>20</v>
      </c>
      <c r="H24">
        <v>23800</v>
      </c>
      <c r="I24">
        <v>163518464</v>
      </c>
    </row>
    <row r="25" spans="3:26">
      <c r="C25" s="25" t="s">
        <v>167</v>
      </c>
      <c r="D25" s="26" t="s">
        <v>168</v>
      </c>
      <c r="E25">
        <v>1</v>
      </c>
      <c r="F25">
        <v>1</v>
      </c>
      <c r="G25">
        <v>21</v>
      </c>
      <c r="H25">
        <v>22200</v>
      </c>
      <c r="I25">
        <v>145975296</v>
      </c>
    </row>
    <row r="26" spans="3:26">
      <c r="C26" s="25" t="s">
        <v>169</v>
      </c>
      <c r="D26" s="26" t="s">
        <v>170</v>
      </c>
      <c r="E26">
        <v>1</v>
      </c>
      <c r="F26">
        <v>1</v>
      </c>
      <c r="G26">
        <v>22</v>
      </c>
      <c r="H26">
        <v>22300</v>
      </c>
      <c r="I26">
        <v>146449408</v>
      </c>
    </row>
    <row r="27" spans="3:26">
      <c r="C27" s="25" t="s">
        <v>171</v>
      </c>
      <c r="D27" s="26" t="s">
        <v>172</v>
      </c>
      <c r="E27">
        <v>1</v>
      </c>
      <c r="F27">
        <v>1</v>
      </c>
      <c r="G27">
        <v>23</v>
      </c>
      <c r="H27">
        <v>22800</v>
      </c>
      <c r="I27">
        <v>152818688</v>
      </c>
    </row>
    <row r="28" spans="3:26">
      <c r="C28" s="25" t="s">
        <v>173</v>
      </c>
      <c r="D28" s="26" t="s">
        <v>174</v>
      </c>
      <c r="E28">
        <v>1</v>
      </c>
      <c r="F28">
        <v>1</v>
      </c>
      <c r="G28">
        <v>24</v>
      </c>
      <c r="H28">
        <v>24400</v>
      </c>
      <c r="I28">
        <v>168322048</v>
      </c>
    </row>
    <row r="29" spans="3:26">
      <c r="C29" s="25" t="s">
        <v>175</v>
      </c>
      <c r="D29" s="26" t="s">
        <v>176</v>
      </c>
      <c r="E29">
        <v>1</v>
      </c>
      <c r="F29">
        <v>1</v>
      </c>
      <c r="G29">
        <v>25</v>
      </c>
      <c r="H29">
        <v>21300</v>
      </c>
      <c r="I29">
        <v>138645504</v>
      </c>
    </row>
    <row r="30" spans="3:26">
      <c r="C30" s="25" t="s">
        <v>177</v>
      </c>
      <c r="D30" s="26" t="s">
        <v>178</v>
      </c>
      <c r="E30">
        <v>1</v>
      </c>
      <c r="F30">
        <v>1</v>
      </c>
      <c r="G30">
        <v>26</v>
      </c>
      <c r="H30">
        <v>21100</v>
      </c>
      <c r="I30">
        <v>138341376</v>
      </c>
    </row>
    <row r="31" spans="3:26">
      <c r="C31" s="25" t="s">
        <v>179</v>
      </c>
      <c r="D31" s="26" t="s">
        <v>180</v>
      </c>
      <c r="E31">
        <v>1</v>
      </c>
      <c r="F31">
        <v>1</v>
      </c>
      <c r="G31">
        <v>27</v>
      </c>
      <c r="H31">
        <v>24200</v>
      </c>
      <c r="I31">
        <v>165176320</v>
      </c>
    </row>
    <row r="32" spans="3:26">
      <c r="C32" s="25" t="s">
        <v>181</v>
      </c>
      <c r="D32" s="26" t="s">
        <v>182</v>
      </c>
      <c r="E32">
        <v>1</v>
      </c>
      <c r="F32">
        <v>1</v>
      </c>
      <c r="G32">
        <v>28</v>
      </c>
      <c r="H32">
        <v>24200</v>
      </c>
      <c r="I32">
        <v>170461184</v>
      </c>
    </row>
    <row r="33" spans="3:9">
      <c r="C33" s="25" t="s">
        <v>183</v>
      </c>
      <c r="D33" s="26" t="s">
        <v>184</v>
      </c>
      <c r="E33">
        <v>1</v>
      </c>
      <c r="F33">
        <v>1</v>
      </c>
      <c r="G33">
        <v>29</v>
      </c>
      <c r="H33">
        <v>21500</v>
      </c>
      <c r="I33">
        <v>140686336</v>
      </c>
    </row>
    <row r="34" spans="3:9">
      <c r="C34" s="25" t="s">
        <v>185</v>
      </c>
      <c r="D34" s="26" t="s">
        <v>186</v>
      </c>
      <c r="E34">
        <v>1</v>
      </c>
      <c r="F34">
        <v>1</v>
      </c>
      <c r="G34">
        <v>30</v>
      </c>
      <c r="H34">
        <v>22500</v>
      </c>
      <c r="I34">
        <v>149189632</v>
      </c>
    </row>
    <row r="35" spans="3:9">
      <c r="C35" s="25" t="s">
        <v>187</v>
      </c>
      <c r="D35" s="26" t="s">
        <v>188</v>
      </c>
      <c r="E35">
        <v>1</v>
      </c>
      <c r="F35">
        <v>1</v>
      </c>
      <c r="G35">
        <v>31</v>
      </c>
      <c r="H35">
        <v>25200</v>
      </c>
      <c r="I35">
        <v>174870528</v>
      </c>
    </row>
    <row r="36" spans="3:9">
      <c r="C36" s="25" t="s">
        <v>189</v>
      </c>
      <c r="D36" s="26" t="s">
        <v>190</v>
      </c>
      <c r="E36">
        <v>1</v>
      </c>
      <c r="F36">
        <v>1</v>
      </c>
      <c r="G36">
        <v>32</v>
      </c>
      <c r="H36">
        <v>23000</v>
      </c>
      <c r="I36">
        <v>155099136</v>
      </c>
    </row>
    <row r="37" spans="3:9">
      <c r="C37" s="25" t="s">
        <v>191</v>
      </c>
      <c r="D37" s="26" t="s">
        <v>192</v>
      </c>
      <c r="E37">
        <v>1</v>
      </c>
      <c r="F37">
        <v>1</v>
      </c>
      <c r="G37">
        <v>33</v>
      </c>
      <c r="H37">
        <v>22500</v>
      </c>
      <c r="I37">
        <v>149582848</v>
      </c>
    </row>
    <row r="38" spans="3:9">
      <c r="C38" s="25" t="s">
        <v>193</v>
      </c>
      <c r="D38" s="26" t="s">
        <v>194</v>
      </c>
      <c r="E38">
        <v>1</v>
      </c>
      <c r="F38">
        <v>1</v>
      </c>
      <c r="G38">
        <v>34</v>
      </c>
      <c r="H38">
        <v>30400</v>
      </c>
      <c r="I38">
        <v>190253056</v>
      </c>
    </row>
    <row r="39" spans="3:9">
      <c r="C39" s="25" t="s">
        <v>195</v>
      </c>
      <c r="D39" s="26" t="s">
        <v>196</v>
      </c>
      <c r="E39">
        <v>1</v>
      </c>
      <c r="F39">
        <v>1</v>
      </c>
      <c r="G39">
        <v>35</v>
      </c>
      <c r="H39">
        <v>21100</v>
      </c>
      <c r="I39">
        <v>134727680</v>
      </c>
    </row>
    <row r="40" spans="3:9">
      <c r="C40" s="25" t="s">
        <v>197</v>
      </c>
      <c r="D40" s="26" t="s">
        <v>198</v>
      </c>
      <c r="E40">
        <v>1</v>
      </c>
      <c r="F40">
        <v>1</v>
      </c>
      <c r="G40">
        <v>36</v>
      </c>
      <c r="H40">
        <v>24200</v>
      </c>
      <c r="I40">
        <v>166245376</v>
      </c>
    </row>
    <row r="41" spans="3:9">
      <c r="C41" s="25" t="s">
        <v>199</v>
      </c>
      <c r="D41" s="26" t="s">
        <v>200</v>
      </c>
      <c r="E41">
        <v>1</v>
      </c>
      <c r="F41">
        <v>1</v>
      </c>
      <c r="G41">
        <v>37</v>
      </c>
      <c r="H41">
        <v>20200</v>
      </c>
      <c r="I41">
        <v>129135616</v>
      </c>
    </row>
    <row r="42" spans="3:9">
      <c r="C42" s="25" t="s">
        <v>201</v>
      </c>
      <c r="D42" s="26" t="s">
        <v>202</v>
      </c>
      <c r="E42">
        <v>1</v>
      </c>
      <c r="F42">
        <v>1</v>
      </c>
      <c r="G42">
        <v>38</v>
      </c>
      <c r="H42">
        <v>21600</v>
      </c>
      <c r="I42">
        <v>140090368</v>
      </c>
    </row>
    <row r="43" spans="3:9">
      <c r="C43" s="25" t="s">
        <v>203</v>
      </c>
      <c r="D43" s="26" t="s">
        <v>204</v>
      </c>
      <c r="E43">
        <v>1</v>
      </c>
      <c r="F43">
        <v>1</v>
      </c>
      <c r="G43">
        <v>39</v>
      </c>
      <c r="H43">
        <v>20100</v>
      </c>
      <c r="I43">
        <v>126751744</v>
      </c>
    </row>
    <row r="44" spans="3:9">
      <c r="C44" s="25" t="s">
        <v>205</v>
      </c>
      <c r="D44" s="26" t="s">
        <v>206</v>
      </c>
      <c r="E44">
        <v>1</v>
      </c>
      <c r="F44">
        <v>1</v>
      </c>
      <c r="G44">
        <v>40</v>
      </c>
      <c r="H44">
        <v>20500</v>
      </c>
      <c r="I44">
        <v>129707008</v>
      </c>
    </row>
    <row r="45" spans="3:9">
      <c r="C45" s="25" t="s">
        <v>207</v>
      </c>
      <c r="D45" s="26" t="s">
        <v>208</v>
      </c>
      <c r="E45">
        <v>1</v>
      </c>
      <c r="F45">
        <v>1</v>
      </c>
      <c r="G45">
        <v>41</v>
      </c>
      <c r="H45">
        <v>23200</v>
      </c>
      <c r="I45">
        <v>156955648</v>
      </c>
    </row>
    <row r="46" spans="3:9">
      <c r="C46" s="25" t="s">
        <v>209</v>
      </c>
      <c r="D46" s="26" t="s">
        <v>210</v>
      </c>
      <c r="E46">
        <v>1</v>
      </c>
      <c r="F46">
        <v>1</v>
      </c>
      <c r="G46">
        <v>42</v>
      </c>
      <c r="H46">
        <v>24200</v>
      </c>
      <c r="I46">
        <v>168785920</v>
      </c>
    </row>
    <row r="47" spans="3:9">
      <c r="C47" s="25" t="s">
        <v>211</v>
      </c>
      <c r="D47" s="26" t="s">
        <v>212</v>
      </c>
      <c r="E47">
        <v>1</v>
      </c>
      <c r="F47">
        <v>1</v>
      </c>
      <c r="G47">
        <v>43</v>
      </c>
      <c r="H47">
        <v>25500</v>
      </c>
      <c r="I47">
        <v>180055040</v>
      </c>
    </row>
    <row r="48" spans="3:9">
      <c r="C48" s="25" t="s">
        <v>213</v>
      </c>
      <c r="D48" s="26" t="s">
        <v>214</v>
      </c>
      <c r="E48">
        <v>1</v>
      </c>
      <c r="F48">
        <v>1</v>
      </c>
      <c r="G48">
        <v>44</v>
      </c>
      <c r="H48">
        <v>21700</v>
      </c>
      <c r="I48">
        <v>140738560</v>
      </c>
    </row>
    <row r="49" spans="3:9">
      <c r="C49" s="25" t="s">
        <v>215</v>
      </c>
      <c r="D49" s="26" t="s">
        <v>216</v>
      </c>
      <c r="E49">
        <v>1</v>
      </c>
      <c r="F49">
        <v>1</v>
      </c>
      <c r="G49">
        <v>45</v>
      </c>
      <c r="H49">
        <v>25000</v>
      </c>
      <c r="I49">
        <v>175010816</v>
      </c>
    </row>
    <row r="50" spans="3:9">
      <c r="C50" s="25" t="s">
        <v>217</v>
      </c>
      <c r="D50" s="26" t="s">
        <v>218</v>
      </c>
      <c r="E50">
        <v>1</v>
      </c>
      <c r="F50">
        <v>1</v>
      </c>
      <c r="G50">
        <v>46</v>
      </c>
      <c r="H50">
        <v>21500</v>
      </c>
      <c r="I50">
        <v>135219200</v>
      </c>
    </row>
    <row r="51" spans="3:9">
      <c r="C51" s="25" t="s">
        <v>219</v>
      </c>
      <c r="D51" s="26" t="s">
        <v>220</v>
      </c>
      <c r="E51">
        <v>1</v>
      </c>
      <c r="F51">
        <v>1</v>
      </c>
      <c r="G51">
        <v>47</v>
      </c>
      <c r="H51">
        <v>20600</v>
      </c>
      <c r="I51">
        <v>130030592</v>
      </c>
    </row>
    <row r="52" spans="3:9">
      <c r="C52" s="25" t="s">
        <v>221</v>
      </c>
      <c r="D52" s="26" t="s">
        <v>222</v>
      </c>
      <c r="E52">
        <v>1</v>
      </c>
      <c r="F52">
        <v>1</v>
      </c>
      <c r="G52">
        <v>48</v>
      </c>
      <c r="H52">
        <v>24300</v>
      </c>
      <c r="I52">
        <v>168899584</v>
      </c>
    </row>
    <row r="53" spans="3:9">
      <c r="C53" s="25" t="s">
        <v>223</v>
      </c>
      <c r="D53" s="26" t="s">
        <v>224</v>
      </c>
      <c r="E53">
        <v>1</v>
      </c>
      <c r="F53">
        <v>1</v>
      </c>
      <c r="G53">
        <v>49</v>
      </c>
      <c r="H53">
        <v>23800</v>
      </c>
      <c r="I53">
        <v>160935936</v>
      </c>
    </row>
    <row r="54" spans="3:9">
      <c r="C54" s="25" t="s">
        <v>225</v>
      </c>
      <c r="D54" s="26" t="s">
        <v>226</v>
      </c>
      <c r="E54">
        <v>1</v>
      </c>
      <c r="F54">
        <v>1</v>
      </c>
      <c r="G54">
        <v>50</v>
      </c>
      <c r="H54">
        <v>21800</v>
      </c>
      <c r="I54">
        <v>146070528</v>
      </c>
    </row>
  </sheetData>
  <hyperlinks>
    <hyperlink ref="D5" r:id="rId4" display="ftp://ftpmediazjyd:rD2q0y1M5eI@36.133.168.235:2121/media/hnyd/shaoer/jkrdiydbp/jkrdiydbp001.ts" tooltip="ftp://ftpmediazjyd:rD2q0y1M5eI@36.133.168.235:2121/media/hnyd/shaoer/jkrdiydbp/jkrdiydbp001.ts"/>
    <hyperlink ref="D6:D7" r:id="rId5" display="ftp://ftpmediazjyd:rD2q0y1M5eI@36.133.168.235:2121/media/hnyd/shaoer/jkrdiydbp/jkrdiydbp002.ts"/>
    <hyperlink ref="D6" r:id="rId6" display="ftp://ftpmediazjyd:rD2q0y1M5eI@36.133.168.235:2121/media/hnyd/shaoer/jkrdiydbp/jkrdiydbp002.ts" tooltip="ftp://ftpmediazjyd:rD2q0y1M5eI@36.133.168.235:2121/media/hnyd/shaoer/jkrdiydbp/jkrdiydbp002.ts"/>
    <hyperlink ref="D7" r:id="rId7" display="ftp://ftpmediazjyd:rD2q0y1M5eI@36.133.168.235:2121/media/hnyd/shaoer/jkrdiydbp/jkrdiydbp003.ts" tooltip="ftp://ftpmediazjyd:rD2q0y1M5eI@36.133.168.235:2121/media/hnyd/shaoer/jkrdiydbp/jkrdiydbp003.ts"/>
    <hyperlink ref="D8" r:id="rId8" display="ftp://ftpmediazjyd:rD2q0y1M5eI@36.133.168.235:2121/media/hnyd/shaoer/jkrdiydbp/jkrdiydbp004.ts" tooltip="ftp://ftpmediazjyd:rD2q0y1M5eI@36.133.168.235:2121/media/hnyd/shaoer/jkrdiydbp/jkrdiydbp004.ts"/>
    <hyperlink ref="D9" r:id="rId9" display="ftp://ftpmediazjyd:rD2q0y1M5eI@36.133.168.235:2121/media/hnyd/shaoer/jkrdiydbp/jkrdiydbp005.ts" tooltip="ftp://ftpmediazjyd:rD2q0y1M5eI@36.133.168.235:2121/media/hnyd/shaoer/jkrdiydbp/jkrdiydbp005.ts"/>
    <hyperlink ref="D10" r:id="rId10" display="ftp://ftpmediazjyd:rD2q0y1M5eI@36.133.168.235:2121/media/hnyd/shaoer/jkrdiydbp/jkrdiydbp006.ts" tooltip="ftp://ftpmediazjyd:rD2q0y1M5eI@36.133.168.235:2121/media/hnyd/shaoer/jkrdiydbp/jkrdiydbp006.ts"/>
    <hyperlink ref="D11" r:id="rId11" display="ftp://ftpmediazjyd:rD2q0y1M5eI@36.133.168.235:2121/media/hnyd/shaoer/jkrdiydbp/jkrdiydbp007.ts" tooltip="ftp://ftpmediazjyd:rD2q0y1M5eI@36.133.168.235:2121/media/hnyd/shaoer/jkrdiydbp/jkrdiydbp007.ts"/>
    <hyperlink ref="D12" r:id="rId12" display="ftp://ftpmediazjyd:rD2q0y1M5eI@36.133.168.235:2121/media/hnyd/shaoer/jkrdiydbp/jkrdiydbp008.ts" tooltip="ftp://ftpmediazjyd:rD2q0y1M5eI@36.133.168.235:2121/media/hnyd/shaoer/jkrdiydbp/jkrdiydbp008.ts"/>
    <hyperlink ref="D13" r:id="rId13" display="ftp://ftpmediazjyd:rD2q0y1M5eI@36.133.168.235:2121/media/hnyd/shaoer/jkrdiydbp/jkrdiydbp009.ts" tooltip="ftp://ftpmediazjyd:rD2q0y1M5eI@36.133.168.235:2121/media/hnyd/shaoer/jkrdiydbp/jkrdiydbp009.ts"/>
    <hyperlink ref="D14" r:id="rId14" display="ftp://ftpmediazjyd:rD2q0y1M5eI@36.133.168.235:2121/media/hnyd/shaoer/jkrdiydbp/jkrdiydbp010.ts" tooltip="ftp://ftpmediazjyd:rD2q0y1M5eI@36.133.168.235:2121/media/hnyd/shaoer/jkrdiydbp/jkrdiydbp010.ts"/>
    <hyperlink ref="D15" r:id="rId15" display="ftp://ftpmediazjyd:rD2q0y1M5eI@36.133.168.235:2121/media/hnyd/shaoer/jkrdiydbp/jkrdiydbp011.ts" tooltip="ftp://ftpmediazjyd:rD2q0y1M5eI@36.133.168.235:2121/media/hnyd/shaoer/jkrdiydbp/jkrdiydbp011.ts"/>
    <hyperlink ref="D16" r:id="rId16" display="ftp://ftpmediazjyd:rD2q0y1M5eI@36.133.168.235:2121/media/hnyd/shaoer/jkrdiydbp/jkrdiydbp012.ts" tooltip="ftp://ftpmediazjyd:rD2q0y1M5eI@36.133.168.235:2121/media/hnyd/shaoer/jkrdiydbp/jkrdiydbp012.ts"/>
    <hyperlink ref="D17" r:id="rId17" display="ftp://ftpmediazjyd:rD2q0y1M5eI@36.133.168.235:2121/media/hnyd/shaoer/jkrdiydbp/jkrdiydbp013.ts" tooltip="ftp://ftpmediazjyd:rD2q0y1M5eI@36.133.168.235:2121/media/hnyd/shaoer/jkrdiydbp/jkrdiydbp013.ts"/>
    <hyperlink ref="D18" r:id="rId18" display="ftp://ftpmediazjyd:rD2q0y1M5eI@36.133.168.235:2121/media/hnyd/shaoer/jkrdiydbp/jkrdiydbp014.ts" tooltip="ftp://ftpmediazjyd:rD2q0y1M5eI@36.133.168.235:2121/media/hnyd/shaoer/jkrdiydbp/jkrdiydbp014.ts"/>
    <hyperlink ref="D19" r:id="rId19" display="ftp://ftpmediazjyd:rD2q0y1M5eI@36.133.168.235:2121/media/hnyd/shaoer/jkrdiydbp/jkrdiydbp015.ts" tooltip="ftp://ftpmediazjyd:rD2q0y1M5eI@36.133.168.235:2121/media/hnyd/shaoer/jkrdiydbp/jkrdiydbp015.ts"/>
    <hyperlink ref="D20" r:id="rId20" display="ftp://ftpmediazjyd:rD2q0y1M5eI@36.133.168.235:2121/media/hnyd/shaoer/jkrdiydbp/jkrdiydbp016.ts" tooltip="ftp://ftpmediazjyd:rD2q0y1M5eI@36.133.168.235:2121/media/hnyd/shaoer/jkrdiydbp/jkrdiydbp016.ts"/>
    <hyperlink ref="D25" r:id="rId21" display="ftp://ftpmediazjyd:rD2q0y1M5eI@36.133.168.235:2121/media/hnyd/shaoer/jkrdiydbp/jkrdiydbp021.ts" tooltip="ftp://ftpmediazjyd:rD2q0y1M5eI@36.133.168.235:2121/media/hnyd/shaoer/jkrdiydbp/jkrdiydbp021.ts"/>
    <hyperlink ref="D30" r:id="rId22" display="ftp://ftpmediazjyd:rD2q0y1M5eI@36.133.168.235:2121/media/hnyd/shaoer/jkrdiydbp/jkrdiydbp026.ts" tooltip="ftp://ftpmediazjyd:rD2q0y1M5eI@36.133.168.235:2121/media/hnyd/shaoer/jkrdiydbp/jkrdiydbp026.ts"/>
    <hyperlink ref="D21" r:id="rId23" display="ftp://ftpmediazjyd:rD2q0y1M5eI@36.133.168.235:2121/media/hnyd/shaoer/jkrdiydbp/jkrdiydbp017.ts" tooltip="ftp://ftpmediazjyd:rD2q0y1M5eI@36.133.168.235:2121/media/hnyd/shaoer/jkrdiydbp/jkrdiydbp017.ts"/>
    <hyperlink ref="D26" r:id="rId24" display="ftp://ftpmediazjyd:rD2q0y1M5eI@36.133.168.235:2121/media/hnyd/shaoer/jkrdiydbp/jkrdiydbp022.ts" tooltip="ftp://ftpmediazjyd:rD2q0y1M5eI@36.133.168.235:2121/media/hnyd/shaoer/jkrdiydbp/jkrdiydbp022.ts"/>
    <hyperlink ref="D31" r:id="rId25" display="ftp://ftpmediazjyd:rD2q0y1M5eI@36.133.168.235:2121/media/hnyd/shaoer/jkrdiydbp/jkrdiydbp027.ts" tooltip="ftp://ftpmediazjyd:rD2q0y1M5eI@36.133.168.235:2121/media/hnyd/shaoer/jkrdiydbp/jkrdiydbp027.ts"/>
    <hyperlink ref="D22" r:id="rId26" display="ftp://ftpmediazjyd:rD2q0y1M5eI@36.133.168.235:2121/media/hnyd/shaoer/jkrdiydbp/jkrdiydbp018.ts" tooltip="ftp://ftpmediazjyd:rD2q0y1M5eI@36.133.168.235:2121/media/hnyd/shaoer/jkrdiydbp/jkrdiydbp018.ts"/>
    <hyperlink ref="D27" r:id="rId27" display="ftp://ftpmediazjyd:rD2q0y1M5eI@36.133.168.235:2121/media/hnyd/shaoer/jkrdiydbp/jkrdiydbp023.ts" tooltip="ftp://ftpmediazjyd:rD2q0y1M5eI@36.133.168.235:2121/media/hnyd/shaoer/jkrdiydbp/jkrdiydbp023.ts"/>
    <hyperlink ref="D32" r:id="rId28" display="ftp://ftpmediazjyd:rD2q0y1M5eI@36.133.168.235:2121/media/hnyd/shaoer/jkrdiydbp/jkrdiydbp028.ts" tooltip="ftp://ftpmediazjyd:rD2q0y1M5eI@36.133.168.235:2121/media/hnyd/shaoer/jkrdiydbp/jkrdiydbp028.ts"/>
    <hyperlink ref="D23" r:id="rId29" display="ftp://ftpmediazjyd:rD2q0y1M5eI@36.133.168.235:2121/media/hnyd/shaoer/jkrdiydbp/jkrdiydbp019.ts" tooltip="ftp://ftpmediazjyd:rD2q0y1M5eI@36.133.168.235:2121/media/hnyd/shaoer/jkrdiydbp/jkrdiydbp019.ts"/>
    <hyperlink ref="D28" r:id="rId30" display="ftp://ftpmediazjyd:rD2q0y1M5eI@36.133.168.235:2121/media/hnyd/shaoer/jkrdiydbp/jkrdiydbp024.ts" tooltip="ftp://ftpmediazjyd:rD2q0y1M5eI@36.133.168.235:2121/media/hnyd/shaoer/jkrdiydbp/jkrdiydbp024.ts"/>
    <hyperlink ref="D24" r:id="rId31" display="ftp://ftpmediazjyd:rD2q0y1M5eI@36.133.168.235:2121/media/hnyd/shaoer/jkrdiydbp/jkrdiydbp020.ts" tooltip="ftp://ftpmediazjyd:rD2q0y1M5eI@36.133.168.235:2121/media/hnyd/shaoer/jkrdiydbp/jkrdiydbp020.ts"/>
    <hyperlink ref="D29" r:id="rId32" display="ftp://ftpmediazjyd:rD2q0y1M5eI@36.133.168.235:2121/media/hnyd/shaoer/jkrdiydbp/jkrdiydbp025.ts" tooltip="ftp://ftpmediazjyd:rD2q0y1M5eI@36.133.168.235:2121/media/hnyd/shaoer/jkrdiydbp/jkrdiydbp025.ts"/>
    <hyperlink ref="D33" r:id="rId33" display="ftp://ftpmediazjyd:rD2q0y1M5eI@36.133.168.235:2121/media/hnyd/shaoer/jkrdiydbp/jkrdiydbp029.ts" tooltip="ftp://ftpmediazjyd:rD2q0y1M5eI@36.133.168.235:2121/media/hnyd/shaoer/jkrdiydbp/jkrdiydbp029.ts"/>
    <hyperlink ref="D34" r:id="rId34" display="ftp://ftpmediazjyd:rD2q0y1M5eI@36.133.168.235:2121/media/hnyd/shaoer/jkrdiydbp/jkrdiydbp030.ts" tooltip="ftp://ftpmediazjyd:rD2q0y1M5eI@36.133.168.235:2121/media/hnyd/shaoer/jkrdiydbp/jkrdiydbp030.ts"/>
    <hyperlink ref="D35" r:id="rId35" display="ftp://ftpmediazjyd:rD2q0y1M5eI@36.133.168.235:2121/media/hnyd/shaoer/jkrdiydbp/jkrdiydbp031.ts" tooltip="ftp://ftpmediazjyd:rD2q0y1M5eI@36.133.168.235:2121/media/hnyd/shaoer/jkrdiydbp/jkrdiydbp031.ts"/>
    <hyperlink ref="D36" r:id="rId36" display="ftp://ftpmediazjyd:rD2q0y1M5eI@36.133.168.235:2121/media/hnyd/shaoer/jkrdiydbp/jkrdiydbp032.ts" tooltip="ftp://ftpmediazjyd:rD2q0y1M5eI@36.133.168.235:2121/media/hnyd/shaoer/jkrdiydbp/jkrdiydbp032.ts"/>
    <hyperlink ref="D37" r:id="rId37" display="ftp://ftpmediazjyd:rD2q0y1M5eI@36.133.168.235:2121/media/hnyd/shaoer/jkrdiydbp/jkrdiydbp033.ts" tooltip="ftp://ftpmediazjyd:rD2q0y1M5eI@36.133.168.235:2121/media/hnyd/shaoer/jkrdiydbp/jkrdiydbp033.ts"/>
    <hyperlink ref="D38" r:id="rId38" display="ftp://ftpmediazjyd:rD2q0y1M5eI@36.133.168.235:2121/media/hnyd/shaoer/jkrdiydbp/jkrdiydbp034.ts" tooltip="ftp://ftpmediazjyd:rD2q0y1M5eI@36.133.168.235:2121/media/hnyd/shaoer/jkrdiydbp/jkrdiydbp034.ts"/>
    <hyperlink ref="D39" r:id="rId39" display="ftp://ftpmediazjyd:rD2q0y1M5eI@36.133.168.235:2121/media/hnyd/shaoer/jkrdiydbp/jkrdiydbp035.ts" tooltip="ftp://ftpmediazjyd:rD2q0y1M5eI@36.133.168.235:2121/media/hnyd/shaoer/jkrdiydbp/jkrdiydbp035.ts"/>
    <hyperlink ref="D40" r:id="rId40" display="ftp://ftpmediazjyd:rD2q0y1M5eI@36.133.168.235:2121/media/hnyd/shaoer/jkrdiydbp/jkrdiydbp036.ts" tooltip="ftp://ftpmediazjyd:rD2q0y1M5eI@36.133.168.235:2121/media/hnyd/shaoer/jkrdiydbp/jkrdiydbp036.ts"/>
    <hyperlink ref="D41" r:id="rId41" display="ftp://ftpmediazjyd:rD2q0y1M5eI@36.133.168.235:2121/media/hnyd/shaoer/jkrdiydbp/jkrdiydbp037.ts" tooltip="ftp://ftpmediazjyd:rD2q0y1M5eI@36.133.168.235:2121/media/hnyd/shaoer/jkrdiydbp/jkrdiydbp037.ts"/>
    <hyperlink ref="D42" r:id="rId42" display="ftp://ftpmediazjyd:rD2q0y1M5eI@36.133.168.235:2121/media/hnyd/shaoer/jkrdiydbp/jkrdiydbp038.ts" tooltip="ftp://ftpmediazjyd:rD2q0y1M5eI@36.133.168.235:2121/media/hnyd/shaoer/jkrdiydbp/jkrdiydbp038.ts"/>
    <hyperlink ref="D43" r:id="rId43" display="ftp://ftpmediazjyd:rD2q0y1M5eI@36.133.168.235:2121/media/hnyd/shaoer/jkrdiydbp/jkrdiydbp039.ts" tooltip="ftp://ftpmediazjyd:rD2q0y1M5eI@36.133.168.235:2121/media/hnyd/shaoer/jkrdiydbp/jkrdiydbp039.ts"/>
    <hyperlink ref="D44" r:id="rId44" display="ftp://ftpmediazjyd:rD2q0y1M5eI@36.133.168.235:2121/media/hnyd/shaoer/jkrdiydbp/jkrdiydbp040.ts" tooltip="ftp://ftpmediazjyd:rD2q0y1M5eI@36.133.168.235:2121/media/hnyd/shaoer/jkrdiydbp/jkrdiydbp040.ts"/>
    <hyperlink ref="D45" r:id="rId45" display="ftp://ftpmediazjyd:rD2q0y1M5eI@36.133.168.235:2121/media/hnyd/shaoer/jkrdiydbp/jkrdiydbp041.ts" tooltip="ftp://ftpmediazjyd:rD2q0y1M5eI@36.133.168.235:2121/media/hnyd/shaoer/jkrdiydbp/jkrdiydbp041.ts"/>
    <hyperlink ref="D46" r:id="rId46" display="ftp://ftpmediazjyd:rD2q0y1M5eI@36.133.168.235:2121/media/hnyd/shaoer/jkrdiydbp/jkrdiydbp042.ts" tooltip="ftp://ftpmediazjyd:rD2q0y1M5eI@36.133.168.235:2121/media/hnyd/shaoer/jkrdiydbp/jkrdiydbp042.ts"/>
    <hyperlink ref="D47" r:id="rId47" display="ftp://ftpmediazjyd:rD2q0y1M5eI@36.133.168.235:2121/media/hnyd/shaoer/jkrdiydbp/jkrdiydbp043.ts" tooltip="ftp://ftpmediazjyd:rD2q0y1M5eI@36.133.168.235:2121/media/hnyd/shaoer/jkrdiydbp/jkrdiydbp043.ts"/>
    <hyperlink ref="D48" r:id="rId48" display="ftp://ftpmediazjyd:rD2q0y1M5eI@36.133.168.235:2121/media/hnyd/shaoer/jkrdiydbp/jkrdiydbp044.ts" tooltip="ftp://ftpmediazjyd:rD2q0y1M5eI@36.133.168.235:2121/media/hnyd/shaoer/jkrdiydbp/jkrdiydbp044.ts"/>
    <hyperlink ref="D49" r:id="rId49" display="ftp://ftpmediazjyd:rD2q0y1M5eI@36.133.168.235:2121/media/hnyd/shaoer/jkrdiydbp/jkrdiydbp045.ts" tooltip="ftp://ftpmediazjyd:rD2q0y1M5eI@36.133.168.235:2121/media/hnyd/shaoer/jkrdiydbp/jkrdiydbp045.ts"/>
    <hyperlink ref="D50" r:id="rId50" display="ftp://ftpmediazjyd:rD2q0y1M5eI@36.133.168.235:2121/media/hnyd/shaoer/jkrdiydbp/jkrdiydbp046.ts" tooltip="ftp://ftpmediazjyd:rD2q0y1M5eI@36.133.168.235:2121/media/hnyd/shaoer/jkrdiydbp/jkrdiydbp046.ts"/>
    <hyperlink ref="D51" r:id="rId51" display="ftp://ftpmediazjyd:rD2q0y1M5eI@36.133.168.235:2121/media/hnyd/shaoer/jkrdiydbp/jkrdiydbp047.ts" tooltip="ftp://ftpmediazjyd:rD2q0y1M5eI@36.133.168.235:2121/media/hnyd/shaoer/jkrdiydbp/jkrdiydbp047.ts"/>
    <hyperlink ref="D52" r:id="rId52" display="ftp://ftpmediazjyd:rD2q0y1M5eI@36.133.168.235:2121/media/hnyd/shaoer/jkrdiydbp/jkrdiydbp048.ts" tooltip="ftp://ftpmediazjyd:rD2q0y1M5eI@36.133.168.235:2121/media/hnyd/shaoer/jkrdiydbp/jkrdiydbp048.ts"/>
    <hyperlink ref="D53" r:id="rId53" display="ftp://ftpmediazjyd:rD2q0y1M5eI@36.133.168.235:2121/media/hnyd/shaoer/jkrdiydbp/jkrdiydbp049.ts" tooltip="ftp://ftpmediazjyd:rD2q0y1M5eI@36.133.168.235:2121/media/hnyd/shaoer/jkrdiydbp/jkrdiydbp049.ts"/>
    <hyperlink ref="D54" r:id="rId54" display="ftp://ftpmediazjyd:rD2q0y1M5eI@36.133.168.235:2121/media/hnyd/shaoer/jkrdiydbp/jkrdiydbp050.ts" tooltip="ftp://ftpmediazjyd:rD2q0y1M5eI@36.133.168.235:2121/media/hnyd/shaoer/jkrdiydbp/jkrdiydbp050.ts"/>
    <hyperlink ref="D3" r:id="rId55" display="ftp://ftpmediazjyd:rD2q0y1M5eI@36.133.168.235:2121/media/hnyd/【shaoer/mqxt/rywg】/【剧集名称的首字母】/【剧集名称的首字母】+【0**】.ts" tooltip="ftp://ftpmediazjyd:rD2q0y1M5eI@36.133.168.235:2121/media/hnyd/【shaoer/mqxt/rywg】/【剧集名称的首字母】/【剧集名称的首字母】+【0**】.ts"/>
  </hyperlink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workbookViewId="0">
      <selection activeCell="L12" sqref="L12"/>
    </sheetView>
  </sheetViews>
  <sheetFormatPr defaultColWidth="9.23076923076923" defaultRowHeight="16.8"/>
  <cols>
    <col min="2" max="2" width="14.8942307692308" customWidth="1"/>
    <col min="3" max="3" width="21.9519230769231" customWidth="1"/>
    <col min="4" max="4" width="18.1057692307692" customWidth="1"/>
    <col min="5" max="6" width="23.875" customWidth="1"/>
    <col min="7" max="7" width="11.8557692307692" customWidth="1"/>
    <col min="8" max="8" width="12.0096153846154" customWidth="1"/>
    <col min="10" max="10" width="11.6923076923077" customWidth="1"/>
    <col min="14" max="14" width="11.2115384615385" customWidth="1"/>
    <col min="16" max="16" width="19.2211538461538" customWidth="1"/>
    <col min="20" max="20" width="20.3557692307692" customWidth="1"/>
    <col min="21" max="21" width="21.4807692307692" customWidth="1"/>
    <col min="22" max="23" width="19.0673076923077" customWidth="1"/>
    <col min="24" max="24" width="27.5576923076923" customWidth="1"/>
  </cols>
  <sheetData>
    <row r="1" ht="17.6" spans="1:29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111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55</v>
      </c>
      <c r="P1" s="1" t="s">
        <v>240</v>
      </c>
      <c r="Q1" s="1" t="s">
        <v>241</v>
      </c>
      <c r="R1" s="2" t="s">
        <v>242</v>
      </c>
      <c r="S1" s="2" t="s">
        <v>243</v>
      </c>
      <c r="T1" s="2" t="s">
        <v>244</v>
      </c>
      <c r="U1" s="2" t="s">
        <v>245</v>
      </c>
      <c r="V1" s="2" t="s">
        <v>246</v>
      </c>
      <c r="W1" s="2" t="s">
        <v>59</v>
      </c>
      <c r="X1" s="1" t="s">
        <v>247</v>
      </c>
      <c r="Y1" s="3" t="s">
        <v>248</v>
      </c>
      <c r="Z1" s="4" t="s">
        <v>249</v>
      </c>
      <c r="AA1" s="1" t="s">
        <v>250</v>
      </c>
      <c r="AB1" s="1" t="s">
        <v>251</v>
      </c>
      <c r="AC1" s="1" t="s">
        <v>252</v>
      </c>
    </row>
    <row r="2" spans="1:29">
      <c r="A2" s="5">
        <v>1</v>
      </c>
      <c r="B2" s="5" t="s">
        <v>253</v>
      </c>
      <c r="C2" s="5" t="s">
        <v>254</v>
      </c>
      <c r="D2" s="5" t="s">
        <v>255</v>
      </c>
      <c r="E2" s="5" t="s">
        <v>255</v>
      </c>
      <c r="F2" s="5"/>
      <c r="G2" s="5">
        <v>20</v>
      </c>
      <c r="H2" s="6">
        <v>45</v>
      </c>
      <c r="I2" s="5">
        <v>900</v>
      </c>
      <c r="J2" s="5">
        <v>2011</v>
      </c>
      <c r="K2" s="5"/>
      <c r="L2" s="5"/>
      <c r="M2" s="5"/>
      <c r="N2" s="5" t="s">
        <v>256</v>
      </c>
      <c r="O2" s="5" t="s">
        <v>257</v>
      </c>
      <c r="P2" s="5" t="s">
        <v>94</v>
      </c>
      <c r="Q2" s="5" t="s">
        <v>256</v>
      </c>
      <c r="R2" s="7" t="s">
        <v>258</v>
      </c>
      <c r="S2" s="7" t="s">
        <v>95</v>
      </c>
      <c r="T2" s="7" t="s">
        <v>259</v>
      </c>
      <c r="U2" s="7"/>
      <c r="V2" s="7" t="s">
        <v>260</v>
      </c>
      <c r="W2" s="7"/>
      <c r="X2" s="5" t="s">
        <v>261</v>
      </c>
      <c r="Y2" s="5" t="s">
        <v>262</v>
      </c>
      <c r="Z2" s="5">
        <v>8.4</v>
      </c>
      <c r="AA2" s="5" t="s">
        <v>263</v>
      </c>
      <c r="AB2" s="5" t="s">
        <v>264</v>
      </c>
      <c r="AC2" s="5"/>
    </row>
    <row r="3" spans="1:29">
      <c r="A3" s="5">
        <v>2</v>
      </c>
      <c r="B3" s="5" t="s">
        <v>253</v>
      </c>
      <c r="C3" s="5" t="s">
        <v>265</v>
      </c>
      <c r="D3" s="5" t="s">
        <v>255</v>
      </c>
      <c r="E3" s="5" t="s">
        <v>255</v>
      </c>
      <c r="F3" s="5"/>
      <c r="G3" s="5">
        <v>32</v>
      </c>
      <c r="H3" s="6">
        <v>45</v>
      </c>
      <c r="I3" s="5">
        <v>1440</v>
      </c>
      <c r="J3" s="5">
        <v>2001</v>
      </c>
      <c r="K3" s="5"/>
      <c r="L3" s="5"/>
      <c r="M3" s="5"/>
      <c r="N3" s="5" t="s">
        <v>256</v>
      </c>
      <c r="O3" s="5" t="s">
        <v>257</v>
      </c>
      <c r="P3" s="5" t="s">
        <v>94</v>
      </c>
      <c r="Q3" s="5" t="s">
        <v>256</v>
      </c>
      <c r="R3" s="7" t="s">
        <v>266</v>
      </c>
      <c r="S3" s="7" t="s">
        <v>95</v>
      </c>
      <c r="T3" s="7" t="s">
        <v>267</v>
      </c>
      <c r="U3" s="7"/>
      <c r="V3" s="7" t="s">
        <v>268</v>
      </c>
      <c r="W3" s="7"/>
      <c r="X3" s="5" t="s">
        <v>261</v>
      </c>
      <c r="Y3" s="5" t="s">
        <v>269</v>
      </c>
      <c r="Z3" s="5">
        <v>7.4</v>
      </c>
      <c r="AA3" s="5" t="s">
        <v>263</v>
      </c>
      <c r="AB3" s="5" t="s">
        <v>264</v>
      </c>
      <c r="AC3" s="5"/>
    </row>
    <row r="4" spans="1:29">
      <c r="A4" s="5">
        <v>3</v>
      </c>
      <c r="B4" s="5" t="s">
        <v>253</v>
      </c>
      <c r="C4" s="5" t="s">
        <v>270</v>
      </c>
      <c r="D4" s="5" t="s">
        <v>255</v>
      </c>
      <c r="E4" s="5" t="s">
        <v>255</v>
      </c>
      <c r="F4" s="5"/>
      <c r="G4" s="5">
        <v>20</v>
      </c>
      <c r="H4" s="6">
        <v>45</v>
      </c>
      <c r="I4" s="5">
        <v>900</v>
      </c>
      <c r="J4" s="5">
        <v>2016</v>
      </c>
      <c r="K4" s="5"/>
      <c r="L4" s="5"/>
      <c r="M4" s="5"/>
      <c r="N4" s="5" t="s">
        <v>256</v>
      </c>
      <c r="O4" s="5" t="s">
        <v>257</v>
      </c>
      <c r="P4" s="5" t="s">
        <v>94</v>
      </c>
      <c r="Q4" s="5" t="s">
        <v>256</v>
      </c>
      <c r="R4" s="7" t="s">
        <v>271</v>
      </c>
      <c r="S4" s="7" t="s">
        <v>95</v>
      </c>
      <c r="T4" s="7" t="s">
        <v>272</v>
      </c>
      <c r="U4" s="7"/>
      <c r="V4" s="7" t="s">
        <v>273</v>
      </c>
      <c r="W4" s="7"/>
      <c r="X4" s="5" t="s">
        <v>261</v>
      </c>
      <c r="Y4" s="5" t="s">
        <v>274</v>
      </c>
      <c r="Z4" s="5">
        <v>8</v>
      </c>
      <c r="AA4" s="5" t="s">
        <v>263</v>
      </c>
      <c r="AB4" s="5" t="s">
        <v>264</v>
      </c>
      <c r="AC4" s="5"/>
    </row>
    <row r="5" spans="1:29">
      <c r="A5" s="5">
        <v>4</v>
      </c>
      <c r="B5" s="5" t="s">
        <v>253</v>
      </c>
      <c r="C5" s="5" t="s">
        <v>275</v>
      </c>
      <c r="D5" s="5" t="s">
        <v>255</v>
      </c>
      <c r="E5" s="5" t="s">
        <v>255</v>
      </c>
      <c r="F5" s="5"/>
      <c r="G5" s="5">
        <v>24</v>
      </c>
      <c r="H5" s="6">
        <v>45</v>
      </c>
      <c r="I5" s="5">
        <v>1080</v>
      </c>
      <c r="J5" s="5">
        <v>2003</v>
      </c>
      <c r="K5" s="5"/>
      <c r="L5" s="5"/>
      <c r="M5" s="5"/>
      <c r="N5" s="5" t="s">
        <v>256</v>
      </c>
      <c r="O5" s="5" t="s">
        <v>257</v>
      </c>
      <c r="P5" s="5" t="s">
        <v>94</v>
      </c>
      <c r="Q5" s="5" t="s">
        <v>256</v>
      </c>
      <c r="R5" s="7" t="s">
        <v>276</v>
      </c>
      <c r="S5" s="7" t="s">
        <v>95</v>
      </c>
      <c r="T5" s="7" t="s">
        <v>277</v>
      </c>
      <c r="U5" s="7"/>
      <c r="V5" s="7" t="s">
        <v>278</v>
      </c>
      <c r="W5" s="7"/>
      <c r="X5" s="5" t="s">
        <v>261</v>
      </c>
      <c r="Y5" s="5" t="s">
        <v>279</v>
      </c>
      <c r="Z5" s="5">
        <v>8</v>
      </c>
      <c r="AA5" s="5" t="s">
        <v>263</v>
      </c>
      <c r="AB5" s="5" t="s">
        <v>264</v>
      </c>
      <c r="AC5" s="5"/>
    </row>
    <row r="6" spans="1:29">
      <c r="A6" s="5">
        <v>5</v>
      </c>
      <c r="B6" s="5" t="s">
        <v>253</v>
      </c>
      <c r="C6" s="5" t="s">
        <v>280</v>
      </c>
      <c r="D6" s="5" t="s">
        <v>255</v>
      </c>
      <c r="E6" s="5" t="s">
        <v>255</v>
      </c>
      <c r="F6" s="5"/>
      <c r="G6" s="5">
        <v>20</v>
      </c>
      <c r="H6" s="6">
        <v>45</v>
      </c>
      <c r="I6" s="5">
        <v>900</v>
      </c>
      <c r="J6" s="5">
        <v>2012</v>
      </c>
      <c r="K6" s="5"/>
      <c r="L6" s="5"/>
      <c r="M6" s="5"/>
      <c r="N6" s="5" t="s">
        <v>256</v>
      </c>
      <c r="O6" s="5" t="s">
        <v>257</v>
      </c>
      <c r="P6" s="5" t="s">
        <v>94</v>
      </c>
      <c r="Q6" s="5" t="s">
        <v>256</v>
      </c>
      <c r="R6" s="7" t="s">
        <v>281</v>
      </c>
      <c r="S6" s="7" t="s">
        <v>95</v>
      </c>
      <c r="T6" s="7" t="s">
        <v>282</v>
      </c>
      <c r="U6" s="7"/>
      <c r="V6" s="7" t="s">
        <v>283</v>
      </c>
      <c r="W6" s="7"/>
      <c r="X6" s="5" t="s">
        <v>261</v>
      </c>
      <c r="Y6" s="5" t="s">
        <v>284</v>
      </c>
      <c r="Z6" s="5">
        <v>8</v>
      </c>
      <c r="AA6" s="5" t="s">
        <v>263</v>
      </c>
      <c r="AB6" s="5" t="s">
        <v>264</v>
      </c>
      <c r="AC6" s="5"/>
    </row>
    <row r="7" spans="1:29">
      <c r="A7" s="5">
        <v>6</v>
      </c>
      <c r="B7" s="5" t="s">
        <v>253</v>
      </c>
      <c r="C7" s="5" t="s">
        <v>285</v>
      </c>
      <c r="D7" s="5" t="s">
        <v>255</v>
      </c>
      <c r="E7" s="5" t="s">
        <v>255</v>
      </c>
      <c r="F7" s="5"/>
      <c r="G7" s="5">
        <v>45</v>
      </c>
      <c r="H7" s="6">
        <v>45</v>
      </c>
      <c r="I7" s="5">
        <v>2025</v>
      </c>
      <c r="J7" s="5">
        <v>2012</v>
      </c>
      <c r="K7" s="5"/>
      <c r="L7" s="5"/>
      <c r="M7" s="5"/>
      <c r="N7" s="5" t="s">
        <v>256</v>
      </c>
      <c r="O7" s="5" t="s">
        <v>257</v>
      </c>
      <c r="P7" s="5" t="s">
        <v>94</v>
      </c>
      <c r="Q7" s="5" t="s">
        <v>256</v>
      </c>
      <c r="R7" s="7" t="s">
        <v>95</v>
      </c>
      <c r="S7" s="7" t="s">
        <v>95</v>
      </c>
      <c r="T7" s="7" t="s">
        <v>95</v>
      </c>
      <c r="U7" s="7"/>
      <c r="V7" s="7" t="s">
        <v>286</v>
      </c>
      <c r="W7" s="7"/>
      <c r="X7" s="5" t="s">
        <v>261</v>
      </c>
      <c r="Y7" s="5" t="s">
        <v>287</v>
      </c>
      <c r="Z7" s="5">
        <v>7.1</v>
      </c>
      <c r="AA7" s="5" t="s">
        <v>263</v>
      </c>
      <c r="AB7" s="5" t="s">
        <v>264</v>
      </c>
      <c r="AC7" s="5"/>
    </row>
    <row r="8" spans="1:29">
      <c r="A8" s="5">
        <v>7</v>
      </c>
      <c r="B8" s="5" t="s">
        <v>253</v>
      </c>
      <c r="C8" s="5" t="s">
        <v>288</v>
      </c>
      <c r="D8" s="5" t="s">
        <v>255</v>
      </c>
      <c r="E8" s="5" t="s">
        <v>255</v>
      </c>
      <c r="F8" s="5"/>
      <c r="G8" s="5">
        <v>18</v>
      </c>
      <c r="H8" s="6">
        <v>45</v>
      </c>
      <c r="I8" s="5">
        <v>810</v>
      </c>
      <c r="J8" s="5">
        <v>2012</v>
      </c>
      <c r="K8" s="5"/>
      <c r="L8" s="5"/>
      <c r="M8" s="5"/>
      <c r="N8" s="5" t="s">
        <v>256</v>
      </c>
      <c r="O8" s="5" t="s">
        <v>257</v>
      </c>
      <c r="P8" s="5" t="s">
        <v>94</v>
      </c>
      <c r="Q8" s="5" t="s">
        <v>256</v>
      </c>
      <c r="R8" s="7" t="s">
        <v>289</v>
      </c>
      <c r="S8" s="7" t="s">
        <v>95</v>
      </c>
      <c r="T8" s="7" t="s">
        <v>290</v>
      </c>
      <c r="U8" s="7"/>
      <c r="V8" s="7" t="s">
        <v>291</v>
      </c>
      <c r="W8" s="7"/>
      <c r="X8" s="5" t="s">
        <v>261</v>
      </c>
      <c r="Y8" s="5" t="s">
        <v>292</v>
      </c>
      <c r="Z8" s="5">
        <v>7.3</v>
      </c>
      <c r="AA8" s="5" t="s">
        <v>263</v>
      </c>
      <c r="AB8" s="5" t="s">
        <v>264</v>
      </c>
      <c r="AC8" s="5"/>
    </row>
    <row r="9" spans="1:29">
      <c r="A9" s="5">
        <v>8</v>
      </c>
      <c r="B9" s="5" t="s">
        <v>253</v>
      </c>
      <c r="C9" s="5" t="s">
        <v>293</v>
      </c>
      <c r="D9" s="5" t="s">
        <v>255</v>
      </c>
      <c r="E9" s="5" t="s">
        <v>255</v>
      </c>
      <c r="F9" s="5"/>
      <c r="G9" s="5">
        <v>54</v>
      </c>
      <c r="H9" s="6">
        <v>45</v>
      </c>
      <c r="I9" s="5">
        <v>2430</v>
      </c>
      <c r="J9" s="5">
        <v>2021</v>
      </c>
      <c r="K9" s="5"/>
      <c r="L9" s="5"/>
      <c r="M9" s="5"/>
      <c r="N9" s="5" t="s">
        <v>256</v>
      </c>
      <c r="O9" s="5" t="s">
        <v>257</v>
      </c>
      <c r="P9" s="5" t="s">
        <v>94</v>
      </c>
      <c r="Q9" s="5" t="s">
        <v>256</v>
      </c>
      <c r="R9" s="7" t="s">
        <v>294</v>
      </c>
      <c r="S9" s="7" t="s">
        <v>95</v>
      </c>
      <c r="T9" s="7" t="s">
        <v>295</v>
      </c>
      <c r="U9" s="7"/>
      <c r="V9" s="7" t="s">
        <v>296</v>
      </c>
      <c r="W9" s="7"/>
      <c r="X9" s="5" t="s">
        <v>261</v>
      </c>
      <c r="Y9" s="5" t="s">
        <v>297</v>
      </c>
      <c r="Z9" s="5">
        <v>8</v>
      </c>
      <c r="AA9" s="5" t="s">
        <v>263</v>
      </c>
      <c r="AB9" s="5" t="s">
        <v>264</v>
      </c>
      <c r="AC9" s="5"/>
    </row>
    <row r="10" spans="1:29">
      <c r="A10" s="8"/>
      <c r="B10" s="8"/>
      <c r="C10" s="8" t="s">
        <v>91</v>
      </c>
      <c r="D10" s="8" t="s">
        <v>298</v>
      </c>
      <c r="E10" s="8" t="s">
        <v>96</v>
      </c>
      <c r="F10" s="8" t="s">
        <v>104</v>
      </c>
      <c r="G10" s="5">
        <v>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>
      <c r="A11" s="10"/>
      <c r="B11" s="10"/>
      <c r="C11" s="10"/>
      <c r="D11" s="11" t="s">
        <v>299</v>
      </c>
      <c r="E11" s="11" t="s">
        <v>299</v>
      </c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>
      <c r="A12" s="10"/>
      <c r="B12" s="10"/>
      <c r="C12" s="10"/>
      <c r="D12" s="11" t="s">
        <v>300</v>
      </c>
      <c r="E12" s="11" t="s">
        <v>300</v>
      </c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>
      <c r="A13" s="10"/>
      <c r="B13" s="10"/>
      <c r="C13" s="10"/>
      <c r="D13" s="11"/>
      <c r="E13" s="11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>
      <c r="A14" s="10"/>
      <c r="B14" s="10"/>
      <c r="C14" s="10"/>
      <c r="D14" s="11"/>
      <c r="E14" s="11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>
      <c r="A15" s="10"/>
      <c r="B15" s="10"/>
      <c r="C15" s="10"/>
      <c r="D15" s="11"/>
      <c r="E15" s="11"/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>
      <c r="A16" s="10"/>
      <c r="B16" s="10"/>
      <c r="C16" s="10"/>
      <c r="D16" s="11"/>
      <c r="E16" s="11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10"/>
      <c r="B17" s="10"/>
      <c r="C17" s="10"/>
      <c r="D17" s="11"/>
      <c r="E17" s="11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>
      <c r="A18" s="10"/>
      <c r="B18" s="10"/>
      <c r="C18" s="10"/>
      <c r="D18" s="11"/>
      <c r="E18" s="11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>
      <c r="A19" s="10"/>
      <c r="B19" s="10"/>
      <c r="C19" s="10"/>
      <c r="D19" s="11"/>
      <c r="E19" s="11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>
      <c r="A20" s="10"/>
      <c r="B20" s="10"/>
      <c r="C20" s="10"/>
      <c r="D20" s="11"/>
      <c r="E20" s="11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需求汇总</vt:lpstr>
      <vt:lpstr>河南移动-剧头</vt:lpstr>
      <vt:lpstr>河南移动-子集</vt:lpstr>
      <vt:lpstr>版权数据库-版权方纬度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zhuxuan</dc:creator>
  <cp:lastModifiedBy>祝旋</cp:lastModifiedBy>
  <dcterms:created xsi:type="dcterms:W3CDTF">2025-12-01T18:13:00Z</dcterms:created>
  <dcterms:modified xsi:type="dcterms:W3CDTF">2025-12-08T17:54:33Z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D39375DE950CA67BE0562A69A57E87FE_41</vt:lpwstr>
  </property>
  <property fmtid="{D5CDD505-2E9C-101B-9397-08002B2CF9AE}" pid="3" name="KSOProductBuildVer">
    <vt:lpwstr>2052-12.1.23540.23540</vt:lpwstr>
  </property>
</Properties>
</file>